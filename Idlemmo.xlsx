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" sheetId="1" r:id="rId5"/>
    <sheet state="visible" name="Dungeon" sheetId="2" r:id="rId6"/>
    <sheet state="visible" name="Potions" sheetId="3" r:id="rId7"/>
    <sheet state="visible" name="Profit" sheetId="4" r:id="rId8"/>
  </sheets>
  <definedNames/>
  <calcPr/>
</workbook>
</file>

<file path=xl/sharedStrings.xml><?xml version="1.0" encoding="utf-8"?>
<sst xmlns="http://schemas.openxmlformats.org/spreadsheetml/2006/main" count="577" uniqueCount="520">
  <si>
    <t>Id</t>
  </si>
  <si>
    <t>Mat</t>
  </si>
  <si>
    <t>Price</t>
  </si>
  <si>
    <t>Potion</t>
  </si>
  <si>
    <t>Resource</t>
  </si>
  <si>
    <t>Market price</t>
  </si>
  <si>
    <t>Recipe</t>
  </si>
  <si>
    <t>Value</t>
  </si>
  <si>
    <t>Chance</t>
  </si>
  <si>
    <t>Moose antler</t>
  </si>
  <si>
    <t>Wraithbane</t>
  </si>
  <si>
    <t>Coal</t>
  </si>
  <si>
    <t>Improved Fishing Rod Recipe</t>
  </si>
  <si>
    <t>Minotaur Hide</t>
  </si>
  <si>
    <t>Thunderfury</t>
  </si>
  <si>
    <t>Stingray</t>
  </si>
  <si>
    <t xml:space="preserve">Improved Pickaxe Recipe </t>
  </si>
  <si>
    <t>Black Bear Pelt</t>
  </si>
  <si>
    <t>Gourmet</t>
  </si>
  <si>
    <t>Cooked Stingray</t>
  </si>
  <si>
    <t xml:space="preserve">Improved Felling axe Recipe </t>
  </si>
  <si>
    <t>Orb of elemental</t>
  </si>
  <si>
    <t>Dungeon master</t>
  </si>
  <si>
    <t>White shark</t>
  </si>
  <si>
    <t xml:space="preserve">Herculean Strength Elixir Recipe </t>
  </si>
  <si>
    <t>Elk Antler</t>
  </si>
  <si>
    <t>Frenzy</t>
  </si>
  <si>
    <t>Cooked White Shark</t>
  </si>
  <si>
    <t xml:space="preserve">Bastion Elixir Recipe </t>
  </si>
  <si>
    <t>Enigmatic Stone</t>
  </si>
  <si>
    <t>Cosmic</t>
  </si>
  <si>
    <t>Mystic Ore</t>
  </si>
  <si>
    <t xml:space="preserve">Galeforce Speed Elixir Recipe </t>
  </si>
  <si>
    <t>Lions teeth</t>
  </si>
  <si>
    <t>Mystic Bar</t>
  </si>
  <si>
    <t xml:space="preserve">Falcon's Grace Elixir Recipe </t>
  </si>
  <si>
    <t>Wolf pelt</t>
  </si>
  <si>
    <t xml:space="preserve">Rivertamer Recipe </t>
  </si>
  <si>
    <t>Goblin totem</t>
  </si>
  <si>
    <t>Veinseeker Recipe</t>
  </si>
  <si>
    <t>Harpy wing</t>
  </si>
  <si>
    <t xml:space="preserve">Timberfall Talon Recipe </t>
  </si>
  <si>
    <t>Air elemental</t>
  </si>
  <si>
    <t xml:space="preserve">Protection Potion Recipe </t>
  </si>
  <si>
    <t xml:space="preserve">Felling Essence Recipe </t>
  </si>
  <si>
    <t xml:space="preserve">Oreseeker Essence Crystal Recipe </t>
  </si>
  <si>
    <t xml:space="preserve">Attack Power Potion Recipe </t>
  </si>
  <si>
    <t>Titan Power Brew Recipe</t>
  </si>
  <si>
    <t xml:space="preserve">Vortex Brew Recipe </t>
  </si>
  <si>
    <t xml:space="preserve">Seasong's Lure Recipe </t>
  </si>
  <si>
    <t>Ironbite Recipe</t>
  </si>
  <si>
    <t>Wildwood Chopper Recipe</t>
  </si>
  <si>
    <t>Fortified Protection Recipe</t>
  </si>
  <si>
    <t>Quickstep Essence Recipe</t>
  </si>
  <si>
    <t>Precision Essence Recipe</t>
  </si>
  <si>
    <t>Merfolk Essence Recipe</t>
  </si>
  <si>
    <t>Molten Core Tonic Recipe</t>
  </si>
  <si>
    <t>Spicefinder Essence Crystal Recipe</t>
  </si>
  <si>
    <t>Bulwark Brew Recipe</t>
  </si>
  <si>
    <t>Bladeburst Elixir Recipe</t>
  </si>
  <si>
    <t>Ironclad Tonic Recipe</t>
  </si>
  <si>
    <t>Moonshimmer Hook Recipe</t>
  </si>
  <si>
    <t>Boulder Breaker Recipe</t>
  </si>
  <si>
    <t>Leafblade Recipe</t>
  </si>
  <si>
    <t>Impenetrable Essence Recipe</t>
  </si>
  <si>
    <t>Windrider Essence Recipe</t>
  </si>
  <si>
    <t>Acrobatic's Essence Recipe</t>
  </si>
  <si>
    <t>Strike Essence Recipe</t>
  </si>
  <si>
    <t>Yggdrasil Nectar Recipe</t>
  </si>
  <si>
    <t>Earthcore Infusion Recipe</t>
  </si>
  <si>
    <t>Shadowbane Recipe</t>
  </si>
  <si>
    <t>Soulrender Recipe</t>
  </si>
  <si>
    <t>Shadowstrike Recipe</t>
  </si>
  <si>
    <t>Venomfang Recipe</t>
  </si>
  <si>
    <t>Whisperwind Bow Recipe</t>
  </si>
  <si>
    <t>Stormcaster Recipe</t>
  </si>
  <si>
    <t>Radiant Crest Recipe</t>
  </si>
  <si>
    <t>Shadow Helm Recipe</t>
  </si>
  <si>
    <t>Ironclad Gauntlets Recipe</t>
  </si>
  <si>
    <t>Stormguard Plate Recipe</t>
  </si>
  <si>
    <t>Dragonheart Plate Recipe</t>
  </si>
  <si>
    <t>Stormstrider Greaves Recipe</t>
  </si>
  <si>
    <t>Shadowstep Greaves Recipe</t>
  </si>
  <si>
    <t>Swiftwind Boots Recipe</t>
  </si>
  <si>
    <t>Aegis of the Seraph Recipe</t>
  </si>
  <si>
    <t>Stormguard Shield Recipe</t>
  </si>
  <si>
    <t>Riverbend Infusion Recipe</t>
  </si>
  <si>
    <t>Tampering Essence Recipe</t>
  </si>
  <si>
    <t>Riverbend Infusion Recipe (Untradable)</t>
  </si>
  <si>
    <t>Tampering Essence Recipe (Untradable)</t>
  </si>
  <si>
    <t>Frostbite Recipe</t>
  </si>
  <si>
    <t>Stormbringer Recipe</t>
  </si>
  <si>
    <t>Bloodletter Recipe</t>
  </si>
  <si>
    <t>Whisperblade Recipe</t>
  </si>
  <si>
    <t>Shadow Shot Recipe</t>
  </si>
  <si>
    <t>Frostbite Shot Recipe</t>
  </si>
  <si>
    <t>Frostguard Visage Recipe</t>
  </si>
  <si>
    <t>Sentinel's Gaze Recipe</t>
  </si>
  <si>
    <t>Dragonfire Grasp Recipe</t>
  </si>
  <si>
    <t>Shadowstrike Grips Recipe</t>
  </si>
  <si>
    <t>Frostbite Gauntlets Recipe</t>
  </si>
  <si>
    <t>Shadowcloak Vestments Recipe</t>
  </si>
  <si>
    <t>Frostbite Plate Recipe</t>
  </si>
  <si>
    <t>Frostbite Legguards Recipe</t>
  </si>
  <si>
    <t>Sentinel's Resolve Recipe</t>
  </si>
  <si>
    <t>Shadowstep Footwear Recipe</t>
  </si>
  <si>
    <t>Soulward Barrier Recipe</t>
  </si>
  <si>
    <t>Hydra's Coil Recipe</t>
  </si>
  <si>
    <t>Earthshaker Recipe</t>
  </si>
  <si>
    <t>Grove Cleaver Recipe</t>
  </si>
  <si>
    <t>Shieldbearer's Infusion Recipe</t>
  </si>
  <si>
    <t>Unyielding Fortitude Recipe</t>
  </si>
  <si>
    <t>Shieldbearer's Infusion Recipe (Untradable)</t>
  </si>
  <si>
    <t>Unyielding Fortitude Recipe (Untradable)</t>
  </si>
  <si>
    <t>Doomblade Recipe</t>
  </si>
  <si>
    <t>Serpentstrike Recipe</t>
  </si>
  <si>
    <t>Serpent's Kiss Recipe</t>
  </si>
  <si>
    <t>Moonshadow Recipe</t>
  </si>
  <si>
    <t>Serpent's Arrow Recipe</t>
  </si>
  <si>
    <t>Viper Recipe</t>
  </si>
  <si>
    <t>Celestial Crown Recipe</t>
  </si>
  <si>
    <t>Emberfire Helm Recipe</t>
  </si>
  <si>
    <t>Titan's Embrace Recipe</t>
  </si>
  <si>
    <t>Celestial Touch Gloves Recipe</t>
  </si>
  <si>
    <t>Sentinel's Embrace Recipe</t>
  </si>
  <si>
    <t>Celestial Striders Recipe</t>
  </si>
  <si>
    <t>Frostbite Walkers Recipe</t>
  </si>
  <si>
    <t>Guardian's Stride Recipe</t>
  </si>
  <si>
    <t>Flamebreaker Buckler Recipe</t>
  </si>
  <si>
    <t>Shadowbound Ward Recipe</t>
  </si>
  <si>
    <t>Stoneheart Solution Recipe</t>
  </si>
  <si>
    <t>Lightning Sprint Recipe</t>
  </si>
  <si>
    <t>Stoneheart Solution Recipe (Untradable)</t>
  </si>
  <si>
    <t>Lightning Sprint Recipe (Untradable)</t>
  </si>
  <si>
    <t>Celestial Edge Recipe</t>
  </si>
  <si>
    <t>Bloodmoon Sword Recipe</t>
  </si>
  <si>
    <t>Quickstrike Recipe</t>
  </si>
  <si>
    <t>Runeblade Dagger Recipe</t>
  </si>
  <si>
    <t>Moonshot Recipe</t>
  </si>
  <si>
    <t>Stormsong Recipe</t>
  </si>
  <si>
    <t>Thunder Helm Recipe</t>
  </si>
  <si>
    <t>Emberfist Recipe</t>
  </si>
  <si>
    <t>Celestial Radiance Recipe</t>
  </si>
  <si>
    <t>Ironbark Cuirass Recipe</t>
  </si>
  <si>
    <t>Emberfoot Greaves Recipe</t>
  </si>
  <si>
    <t>Thunderclash Greaves Recipe</t>
  </si>
  <si>
    <t>Celestial Ascenders Recipe</t>
  </si>
  <si>
    <t>Emberfoot Boots Recipe</t>
  </si>
  <si>
    <t>Frostbite Guard Recipe</t>
  </si>
  <si>
    <t>Sentinel's Bulwark Recipe</t>
  </si>
  <si>
    <t>Ocean's Whisper Recipe</t>
  </si>
  <si>
    <t>Stone Splinter Recipe</t>
  </si>
  <si>
    <t>Branchbane Hatchet Recipe</t>
  </si>
  <si>
    <t>Twinstrike Elixir Recipe</t>
  </si>
  <si>
    <t>Frenzy Potion Recipe</t>
  </si>
  <si>
    <t>Twinstrike Elixir Recipe (Untradable)</t>
  </si>
  <si>
    <t>Frenzy Potion Recipe (Untradable)</t>
  </si>
  <si>
    <t>Whisperwind Sword Recipe</t>
  </si>
  <si>
    <t>Voidslayer Recipe</t>
  </si>
  <si>
    <t>Shadowfang Recipe</t>
  </si>
  <si>
    <t>Emberheart Recipe</t>
  </si>
  <si>
    <t>Otto's Mask Recipe</t>
  </si>
  <si>
    <t>Shadowbane Visor Recipe</t>
  </si>
  <si>
    <t>Thunderclap Recipe</t>
  </si>
  <si>
    <t>Soulgrasp Recipe</t>
  </si>
  <si>
    <t>Flameguard Plate Recipe</t>
  </si>
  <si>
    <t>Stormbreaker Mail Recipe</t>
  </si>
  <si>
    <t>Soulforge Legplates Recipe</t>
  </si>
  <si>
    <t>Shadowbane Greaves Recipe</t>
  </si>
  <si>
    <t>Thunderstrike Steps Recipe</t>
  </si>
  <si>
    <t>Soulwalkers Recipe</t>
  </si>
  <si>
    <t>Celestial Aegis Recipe</t>
  </si>
  <si>
    <t>Thunderstrike Barrier Recipe</t>
  </si>
  <si>
    <t>Dragonblood Tonic Recipe</t>
  </si>
  <si>
    <t xml:space="preserve">Gourmet Essence Recipe </t>
  </si>
  <si>
    <t>Dragonblood Tonic Recipe (Untradable)</t>
  </si>
  <si>
    <t>Gourmet Essence Recipe (Untradable)</t>
  </si>
  <si>
    <t>Sunfire Recipe</t>
  </si>
  <si>
    <t>Flamebrand Recipe</t>
  </si>
  <si>
    <t>Soulshard Recipe</t>
  </si>
  <si>
    <t>Piercer Recipe</t>
  </si>
  <si>
    <t>Sunseeker Recipe</t>
  </si>
  <si>
    <t>Windborne Casque Recipe</t>
  </si>
  <si>
    <t>Stormbreaker Helm Recipe</t>
  </si>
  <si>
    <t>Shadowstep Gauntlets Recipe</t>
  </si>
  <si>
    <t>Sentinel's Gauntlets Recipe</t>
  </si>
  <si>
    <t>Shadeweave Raiment Recipe</t>
  </si>
  <si>
    <t>Crystalheart Plate Recipe</t>
  </si>
  <si>
    <t>Windrider Greaves Recipe</t>
  </si>
  <si>
    <t>Stormbreaker Treads Recipe</t>
  </si>
  <si>
    <t>Shadowbane Footguards Recipe</t>
  </si>
  <si>
    <t>Windrider Striders Recipe</t>
  </si>
  <si>
    <t>Essenceweave Shield Recipe</t>
  </si>
  <si>
    <t>Wraithbane Essence Recipe</t>
  </si>
  <si>
    <t>Thunderfury Brew Recipe</t>
  </si>
  <si>
    <t>Wraithbane Essence Recipe (Untradable)</t>
  </si>
  <si>
    <t>Thunderfury Brew Recipe (Untradable)</t>
  </si>
  <si>
    <t>Thunderstrike Recipe</t>
  </si>
  <si>
    <t>Nightfall Sword Recipe</t>
  </si>
  <si>
    <t>Night's Whisper Recipe</t>
  </si>
  <si>
    <t>Eclipse Recipe</t>
  </si>
  <si>
    <t>Thundershot Recipe</t>
  </si>
  <si>
    <t>Nightshade Bow Recipe</t>
  </si>
  <si>
    <t>Voidwalker Cowl Recipe</t>
  </si>
  <si>
    <t>Lunar Radiance Recipe</t>
  </si>
  <si>
    <t>Flameguard Gauntlets Recipe</t>
  </si>
  <si>
    <t>Stormbreaker Gauntlets Recipe</t>
  </si>
  <si>
    <t>Serpent Scale Recipe</t>
  </si>
  <si>
    <t>Phoenix Soulplate Recipe</t>
  </si>
  <si>
    <t>Voidwalker Striders Recipe</t>
  </si>
  <si>
    <t>Stormbreaker Boots Recipe</t>
  </si>
  <si>
    <t>Moonshadow Guard Recipe</t>
  </si>
  <si>
    <t>Ashenfire Ward Recipe</t>
  </si>
  <si>
    <t>Cosmic Tear Recipe</t>
  </si>
  <si>
    <t>Elixir of Life Recipe</t>
  </si>
  <si>
    <t>Cosmic Tear Recipe (Untradable)</t>
  </si>
  <si>
    <t>Elixir of Life Recipe (Untradable)</t>
  </si>
  <si>
    <t>Dawnbreaker Sword Recipe</t>
  </si>
  <si>
    <t>Runeblade Sword Recipe</t>
  </si>
  <si>
    <t>Duskblade Recipe</t>
  </si>
  <si>
    <t>Silent Reaper Recipe</t>
  </si>
  <si>
    <t>Dawnbreaker Bow Recipe</t>
  </si>
  <si>
    <t>Silverthorn Bow Recipe</t>
  </si>
  <si>
    <t>Ashenfire Crown Recipe</t>
  </si>
  <si>
    <t>Nightshade Mask Recipe</t>
  </si>
  <si>
    <t>Voidrend Gauntlets Recipe</t>
  </si>
  <si>
    <t>Windrider Recipe</t>
  </si>
  <si>
    <t>Echosteel Breastplate Recipe</t>
  </si>
  <si>
    <t>Lunarweave Leggings Recipe</t>
  </si>
  <si>
    <t>Nightshade Greaves Recipe</t>
  </si>
  <si>
    <t>Voidstep Boots Recipe</t>
  </si>
  <si>
    <t>Nightshade Boots Recipe</t>
  </si>
  <si>
    <t>Runebound Bulwark Recipe</t>
  </si>
  <si>
    <t>Shadewalker Bulwark Recipe</t>
  </si>
  <si>
    <t>Rune-etched Reeler Recipe</t>
  </si>
  <si>
    <t>Corestrike Recipe</t>
  </si>
  <si>
    <t>Silvan Splitter Recipe</t>
  </si>
  <si>
    <t>Potion of the Gods Recipe</t>
  </si>
  <si>
    <t>Eternal Feast Tonic Recipe</t>
  </si>
  <si>
    <t>Potion of the Gods Recipe (Untradable)</t>
  </si>
  <si>
    <t>Eternal Feast Tonic Recipe (Untradable)</t>
  </si>
  <si>
    <t>Starshard Recipe</t>
  </si>
  <si>
    <t>Phoenix Requiem Recipe</t>
  </si>
  <si>
    <t>Ghostwalker Recipe</t>
  </si>
  <si>
    <t>Silvermist Recipe</t>
  </si>
  <si>
    <t>Starshower Recipe</t>
  </si>
  <si>
    <t>Bloodmoon Bow Recipe</t>
  </si>
  <si>
    <t>Verdant Guardian Helm Recipe</t>
  </si>
  <si>
    <t>Glimmersteel Helm Recipe</t>
  </si>
  <si>
    <t>Lunarweave Gloves Recipe</t>
  </si>
  <si>
    <t>Bloodforged Gauntlets Recipe</t>
  </si>
  <si>
    <t>Grasps of Protection Recipe</t>
  </si>
  <si>
    <t>Guardian's Valor Recipe</t>
  </si>
  <si>
    <t>Verdant Chainmail Recipe</t>
  </si>
  <si>
    <t>Runebound Shinplates Recipe</t>
  </si>
  <si>
    <t>Glimmersteel Pathguards Recipe</t>
  </si>
  <si>
    <t>Ashenfire Boots Recipe</t>
  </si>
  <si>
    <t>Glimmersteel Boots Recipe</t>
  </si>
  <si>
    <t>Bloodbane Barrier Recipe</t>
  </si>
  <si>
    <t>Stormbringer Buckler Recipe</t>
  </si>
  <si>
    <t>Divine Nectar Recipe</t>
  </si>
  <si>
    <t>Fallen Star Essence Recipe</t>
  </si>
  <si>
    <t>Vibes</t>
  </si>
  <si>
    <t>Divine Nectar Recipe (Untradable)</t>
  </si>
  <si>
    <t>Fallen Star Essence Recipe (Untradable)</t>
  </si>
  <si>
    <t>Grimslayer Recipe</t>
  </si>
  <si>
    <t>Death's Embrace Recipe</t>
  </si>
  <si>
    <t>Nightfall Dagger Recipe</t>
  </si>
  <si>
    <t>Fury Recipe</t>
  </si>
  <si>
    <t>Death's Touch Recipe</t>
  </si>
  <si>
    <t>Bloodforged Helm Recipe</t>
  </si>
  <si>
    <t>Soul Recipe</t>
  </si>
  <si>
    <t>Phoenixclaw Gauntlets Recipe</t>
  </si>
  <si>
    <t>Gloves of the Protector Recipe</t>
  </si>
  <si>
    <t>Dreadbane Armor Recipe</t>
  </si>
  <si>
    <t>Ashenplate Cuirass Recipe</t>
  </si>
  <si>
    <t>Phoenix Greaves Recipe</t>
  </si>
  <si>
    <t>Soulshield Legplates Recipe</t>
  </si>
  <si>
    <t>Verdant Boots Recipe</t>
  </si>
  <si>
    <t>Soulshield Treads Recipe</t>
  </si>
  <si>
    <t>Phoenixguard Shield Recipe</t>
  </si>
  <si>
    <t>Ironbark Protector Recipe</t>
  </si>
  <si>
    <t>Arboreal Ender Recipe</t>
  </si>
  <si>
    <t>Cosmic Nectar Recipe</t>
  </si>
  <si>
    <t>Guardian's Soul Recipe</t>
  </si>
  <si>
    <t>Cosmic Nectar Recipe (Untradable)</t>
  </si>
  <si>
    <t>Guardian's Soul Recipe (Untradable)</t>
  </si>
  <si>
    <t>Silverthorn Sword Recipe</t>
  </si>
  <si>
    <t>Starglitter Recipe</t>
  </si>
  <si>
    <t>Widow's Kiss Recipe</t>
  </si>
  <si>
    <t>Grimwood Recipe</t>
  </si>
  <si>
    <t>Soulstring Recipe</t>
  </si>
  <si>
    <t>Last sale too old</t>
  </si>
  <si>
    <t>Phoenix Crown Recipe</t>
  </si>
  <si>
    <t>Whispersong Recipe</t>
  </si>
  <si>
    <t>Never sold</t>
  </si>
  <si>
    <t>Nightshade Grips Recipe</t>
  </si>
  <si>
    <t>Sacred Grasp Recipe</t>
  </si>
  <si>
    <t>Too old sale</t>
  </si>
  <si>
    <t>Soulguard Armor Recipe</t>
  </si>
  <si>
    <t>Whisperstep Greaves Recipe</t>
  </si>
  <si>
    <t>Whisperwind Boots Recipe</t>
  </si>
  <si>
    <t>Soulshield of Redemption Recipe</t>
  </si>
  <si>
    <t>Kraken's Grasp Recipe</t>
  </si>
  <si>
    <t>Phoenix Ashes Recipe</t>
  </si>
  <si>
    <t>Omnipotent Might Infusion Recipe</t>
  </si>
  <si>
    <t>Phoenix Ashes Recipe (Untradable)</t>
  </si>
  <si>
    <t>Omnipotent Might Infusion Recipe (Untradable)</t>
  </si>
  <si>
    <t>Emberfang Recipe</t>
  </si>
  <si>
    <t>Bloodthirst Recipe</t>
  </si>
  <si>
    <t>Bloodthorn Recipe</t>
  </si>
  <si>
    <t>Fatebreaker Recipe</t>
  </si>
  <si>
    <t>Ashenwind Recipe</t>
  </si>
  <si>
    <t>Archdemon Recipe</t>
  </si>
  <si>
    <t>Runebound Helm Recipe</t>
  </si>
  <si>
    <t>Balthazar's Head Recipe</t>
  </si>
  <si>
    <t>Warfists Recipe</t>
  </si>
  <si>
    <t>Forged</t>
  </si>
  <si>
    <t>Bloodforged Harness Recipe</t>
  </si>
  <si>
    <t>Windrider Harness Recipe</t>
  </si>
  <si>
    <t>Ashenfire Greaves Recipe</t>
  </si>
  <si>
    <t>Twilight Veilguards Recipe</t>
  </si>
  <si>
    <t>Lunarweave Boots Recipe</t>
  </si>
  <si>
    <t>Twilight Veilwalkers Recipe</t>
  </si>
  <si>
    <t>Verdant Sentinel Recipe</t>
  </si>
  <si>
    <t>Deathgate Recipe</t>
  </si>
  <si>
    <t>Boulder's Bane Recipe</t>
  </si>
  <si>
    <t>Sun's Light Recipe</t>
  </si>
  <si>
    <t>Crafted</t>
  </si>
  <si>
    <t>Essence of a Kraken Recipe</t>
  </si>
  <si>
    <t>Cosmic Barrier Recipe</t>
  </si>
  <si>
    <t>Flash Velocity Infusion Recipe</t>
  </si>
  <si>
    <t>Sun's Light Recipe (Untradable)</t>
  </si>
  <si>
    <t>Essence of a Kraken Recipe (Untradable)</t>
  </si>
  <si>
    <t>Cosmic Barrier Recipe (Untradable)</t>
  </si>
  <si>
    <t>Flash Velocity Infusion Recipe (Untradable)</t>
  </si>
  <si>
    <t>Tempest's Fury Recipe</t>
  </si>
  <si>
    <t>Everflame Recipe</t>
  </si>
  <si>
    <t>Emberstrike Recipe</t>
  </si>
  <si>
    <t>Dreadspike Recipe</t>
  </si>
  <si>
    <t>Sting Recipe</t>
  </si>
  <si>
    <t>Thunder Recipe</t>
  </si>
  <si>
    <t>Nature's Grip Recipe</t>
  </si>
  <si>
    <t>Starfire Plate Recipe</t>
  </si>
  <si>
    <t>Twilight Recipe</t>
  </si>
  <si>
    <t>Verdant Greaves Recipe</t>
  </si>
  <si>
    <t>Stormbringer Greaves Recipe</t>
  </si>
  <si>
    <t>Runebound Footwraps Recipe</t>
  </si>
  <si>
    <t>Stormbringer Striders Recipe</t>
  </si>
  <si>
    <t>Twilight Sanctum Recipe</t>
  </si>
  <si>
    <t>Brute Recipe</t>
  </si>
  <si>
    <t>Aqua Reaper</t>
  </si>
  <si>
    <t>Neptune's Soul Recipe</t>
  </si>
  <si>
    <t>Magma Vein Infusion Recipe</t>
  </si>
  <si>
    <t>Cosmic Finesse Tonic Recipe</t>
  </si>
  <si>
    <t>Neptune's Soul Recipe (Untradable)</t>
  </si>
  <si>
    <t>Magma Vein Infusion Recipe (Untradable)</t>
  </si>
  <si>
    <t>Cosmic Finesse Tonic Recipe (Untradable)</t>
  </si>
  <si>
    <t>Excalibur Recipe</t>
  </si>
  <si>
    <t>Moonlance Recipe</t>
  </si>
  <si>
    <t>Divinity Recipe</t>
  </si>
  <si>
    <t>Fortune Recipe</t>
  </si>
  <si>
    <t>Fists of Fury Recipe</t>
  </si>
  <si>
    <t>Moonshadow Vestment Recipe</t>
  </si>
  <si>
    <t>Corruption Recipe</t>
  </si>
  <si>
    <t>Bloodforged Legguards Recipe</t>
  </si>
  <si>
    <t>Dirella's Protection Recipe</t>
  </si>
  <si>
    <t>Bloodforged Boots Recipe</t>
  </si>
  <si>
    <t>Phoenix Boots Recipe</t>
  </si>
  <si>
    <t>Fatebreaker Footguards Recipe</t>
  </si>
  <si>
    <t>Glimmersteel Ward Recipe</t>
  </si>
  <si>
    <t>Colossus Recipe</t>
  </si>
  <si>
    <t>Earth Destroyer Recipe</t>
  </si>
  <si>
    <t>Forest Reaver Recipe</t>
  </si>
  <si>
    <t>Titans Essence Recipe</t>
  </si>
  <si>
    <t>Mjolnir's Elixir Recipe</t>
  </si>
  <si>
    <t>Dragon's Essence Recipe</t>
  </si>
  <si>
    <t>Titanwood Crystal Recipe</t>
  </si>
  <si>
    <t>Primordial Timber Crystal Recipe</t>
  </si>
  <si>
    <t>Titans Essence Recipe (Untradable)</t>
  </si>
  <si>
    <t>Mjolnir's Elixir Recipe (Untradable)</t>
  </si>
  <si>
    <t>Dragon's Essence Recipe (Untradable)</t>
  </si>
  <si>
    <t>Titanwood Crystal Recipe (Untradable)</t>
  </si>
  <si>
    <t>Primordial Timber Crystal Recipe (Untradable)</t>
  </si>
  <si>
    <t>Dungeon</t>
  </si>
  <si>
    <t>Offset</t>
  </si>
  <si>
    <t>Run cost</t>
  </si>
  <si>
    <t>Time</t>
  </si>
  <si>
    <t>Profit</t>
  </si>
  <si>
    <t>Profit/h</t>
  </si>
  <si>
    <t>Number of drops</t>
  </si>
  <si>
    <t>Drop1</t>
  </si>
  <si>
    <t>Drop1 Price</t>
  </si>
  <si>
    <t>Drop2</t>
  </si>
  <si>
    <t>Drop2 Price</t>
  </si>
  <si>
    <t>Drop3</t>
  </si>
  <si>
    <t>Drop3 Price</t>
  </si>
  <si>
    <t>Drop4</t>
  </si>
  <si>
    <t>Drop4 Price</t>
  </si>
  <si>
    <t>Drop5</t>
  </si>
  <si>
    <t>Drop5 Price</t>
  </si>
  <si>
    <t>Drop6</t>
  </si>
  <si>
    <t>Drop6 Price</t>
  </si>
  <si>
    <t>Drop7</t>
  </si>
  <si>
    <t>Drop7 Price</t>
  </si>
  <si>
    <t>Drop8</t>
  </si>
  <si>
    <t>Drop8 Price</t>
  </si>
  <si>
    <t>Drop9</t>
  </si>
  <si>
    <t>Drop9 Price</t>
  </si>
  <si>
    <t>Drop10</t>
  </si>
  <si>
    <t>Drop10 Price</t>
  </si>
  <si>
    <t>Drop11</t>
  </si>
  <si>
    <t>Drop11 Price</t>
  </si>
  <si>
    <t>Drop12</t>
  </si>
  <si>
    <t>Drop12 Price</t>
  </si>
  <si>
    <t>Drop13</t>
  </si>
  <si>
    <t>Drop13 Price</t>
  </si>
  <si>
    <t>Drop14</t>
  </si>
  <si>
    <t>Drop14 Price</t>
  </si>
  <si>
    <t>Drop15</t>
  </si>
  <si>
    <t>Drop15 Price</t>
  </si>
  <si>
    <t>Drop16</t>
  </si>
  <si>
    <t>Drop16 Price</t>
  </si>
  <si>
    <t>Drop17</t>
  </si>
  <si>
    <t>Drop17 Price</t>
  </si>
  <si>
    <t>Drop18</t>
  </si>
  <si>
    <t>Drop18 Price</t>
  </si>
  <si>
    <t>Drop19</t>
  </si>
  <si>
    <t>Drop19 Price</t>
  </si>
  <si>
    <t>Drop20</t>
  </si>
  <si>
    <t>Drop20 Price</t>
  </si>
  <si>
    <t>Drop21</t>
  </si>
  <si>
    <t>Drop21 Price</t>
  </si>
  <si>
    <t>Drop22</t>
  </si>
  <si>
    <t>Drop22 Price</t>
  </si>
  <si>
    <t>Drop23</t>
  </si>
  <si>
    <t>Drop23 Price</t>
  </si>
  <si>
    <t>Drop24</t>
  </si>
  <si>
    <t>Drop24 Price</t>
  </si>
  <si>
    <t>Drop25</t>
  </si>
  <si>
    <t>Drop25 Price</t>
  </si>
  <si>
    <t>Drop26</t>
  </si>
  <si>
    <t>Drop26 Price</t>
  </si>
  <si>
    <t>Drop27</t>
  </si>
  <si>
    <t>Drop27 Price</t>
  </si>
  <si>
    <t>Drop28</t>
  </si>
  <si>
    <t>Drop28 Price</t>
  </si>
  <si>
    <t>Drop29</t>
  </si>
  <si>
    <t>Drop29 Price</t>
  </si>
  <si>
    <t>Drop30</t>
  </si>
  <si>
    <t>Drop30 Price</t>
  </si>
  <si>
    <t>Millstone Mines</t>
  </si>
  <si>
    <t>Vineyard Labyrinth</t>
  </si>
  <si>
    <t>Verdant Veil</t>
  </si>
  <si>
    <t>Sylvan Sanctum</t>
  </si>
  <si>
    <t>Whispering Catacombs</t>
  </si>
  <si>
    <t>Cursed Asylum</t>
  </si>
  <si>
    <t>Forgotten Archives</t>
  </si>
  <si>
    <t>Crystal Forge</t>
  </si>
  <si>
    <t>Frostbite Spire</t>
  </si>
  <si>
    <t>Zenith's Sanctum</t>
  </si>
  <si>
    <t>Mirage Citadel</t>
  </si>
  <si>
    <t>Eden's Embrace</t>
  </si>
  <si>
    <t>Arboreal Labyrinth</t>
  </si>
  <si>
    <t>Bloodmoon Manor</t>
  </si>
  <si>
    <t>Ruins of Old Ranhor</t>
  </si>
  <si>
    <t>Volcanic Depths</t>
  </si>
  <si>
    <t>Celestial Enclave</t>
  </si>
  <si>
    <t>Nexus</t>
  </si>
  <si>
    <t>MF Streak</t>
  </si>
  <si>
    <t>MF Dung</t>
  </si>
  <si>
    <t>MF Item</t>
  </si>
  <si>
    <t>MF Bonus</t>
  </si>
  <si>
    <t>Mat 1 Qty</t>
  </si>
  <si>
    <t>Mat1 cost</t>
  </si>
  <si>
    <t>Mat 2 Qty</t>
  </si>
  <si>
    <t>Mat2 cost</t>
  </si>
  <si>
    <t>Vial</t>
  </si>
  <si>
    <t>Total cost</t>
  </si>
  <si>
    <t>Min price</t>
  </si>
  <si>
    <t>Current price</t>
  </si>
  <si>
    <t>Benefit</t>
  </si>
  <si>
    <t>Benefit/h</t>
  </si>
  <si>
    <t>Elixir of Life</t>
  </si>
  <si>
    <t>Potion of the Gods</t>
  </si>
  <si>
    <t>Eternal Feast Tonic</t>
  </si>
  <si>
    <t>Fallen Star Essence</t>
  </si>
  <si>
    <t>Divine Nectar</t>
  </si>
  <si>
    <t>Cosmic Nectar</t>
  </si>
  <si>
    <t>Guardian's Soul</t>
  </si>
  <si>
    <t>Phoenix Ashes</t>
  </si>
  <si>
    <t>Omnipotent Might Infusion</t>
  </si>
  <si>
    <t>Sun's Light</t>
  </si>
  <si>
    <t>Essence of a Kraken</t>
  </si>
  <si>
    <t>Cosmic Barrier</t>
  </si>
  <si>
    <t>Flash Velocity Infusion</t>
  </si>
  <si>
    <t>Neptune's Soul</t>
  </si>
  <si>
    <t>Magma Vein Infusion</t>
  </si>
  <si>
    <t>Cosmic Finesse Tonic</t>
  </si>
  <si>
    <t>Titans Essence</t>
  </si>
  <si>
    <t>Mjolnir's Elixir</t>
  </si>
  <si>
    <t>Dragon's Essence</t>
  </si>
  <si>
    <t>Titanwood Crystal</t>
  </si>
  <si>
    <t>Primordial Timber Crystal</t>
  </si>
  <si>
    <t>Cost</t>
  </si>
  <si>
    <t>Vendor value</t>
  </si>
  <si>
    <t>Vendor benefit</t>
  </si>
  <si>
    <t>Vendor/h</t>
  </si>
  <si>
    <t>Market value</t>
  </si>
  <si>
    <t>Market less tax</t>
  </si>
  <si>
    <t>Market benefit</t>
  </si>
  <si>
    <t>Market/h</t>
  </si>
  <si>
    <t>Max /h</t>
  </si>
  <si>
    <t>Market or vendor</t>
  </si>
  <si>
    <t>Cooked Stingray full</t>
  </si>
  <si>
    <t>Cooked White Shark full</t>
  </si>
  <si>
    <t>Cooked White Shark full + coal</t>
  </si>
  <si>
    <t>Mystic Bar full</t>
  </si>
  <si>
    <t>Mystic Bar full + coal</t>
  </si>
  <si>
    <t>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</si>
</sst>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2.75"/>
  </cols>
  <sheetData>
    <row r="1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2</v>
      </c>
      <c r="I1" s="1" t="s">
        <v>0</v>
      </c>
      <c r="J1" s="1" t="s">
        <v>4</v>
      </c>
      <c r="K1" s="1" t="s">
        <v>5</v>
      </c>
      <c r="M1" s="1" t="s">
        <v>0</v>
      </c>
      <c r="N1" s="1" t="s">
        <v>6</v>
      </c>
      <c r="O1" s="1" t="s">
        <v>2</v>
      </c>
      <c r="P1" s="1" t="s">
        <v>7</v>
      </c>
      <c r="Q1" s="1" t="s">
        <v>8</v>
      </c>
    </row>
    <row r="2">
      <c r="A2" s="1"/>
      <c r="B2" s="1" t="s">
        <v>9</v>
      </c>
      <c r="C2" s="1">
        <v>125.0</v>
      </c>
      <c r="E2" s="1"/>
      <c r="F2" s="1" t="s">
        <v>10</v>
      </c>
      <c r="G2" s="1">
        <v>11600.0</v>
      </c>
      <c r="I2" s="1"/>
      <c r="J2" s="1" t="s">
        <v>11</v>
      </c>
      <c r="K2" s="1">
        <v>6.0</v>
      </c>
      <c r="M2" s="1"/>
      <c r="N2" s="1" t="s">
        <v>12</v>
      </c>
      <c r="O2" s="1">
        <v>300.0</v>
      </c>
      <c r="P2" s="1"/>
      <c r="Q2" s="1">
        <v>0.05</v>
      </c>
    </row>
    <row r="3">
      <c r="A3" s="1"/>
      <c r="B3" s="1" t="s">
        <v>13</v>
      </c>
      <c r="C3" s="1">
        <v>413.0</v>
      </c>
      <c r="E3" s="1"/>
      <c r="F3" s="1" t="s">
        <v>14</v>
      </c>
      <c r="G3" s="1">
        <v>5500.0</v>
      </c>
      <c r="I3" s="1"/>
      <c r="J3" s="1" t="s">
        <v>15</v>
      </c>
      <c r="K3" s="1">
        <v>38.0</v>
      </c>
      <c r="M3" s="1"/>
      <c r="N3" s="1" t="s">
        <v>16</v>
      </c>
      <c r="O3" s="1">
        <v>1600.0</v>
      </c>
      <c r="P3" s="1"/>
      <c r="Q3" s="1">
        <v>0.05</v>
      </c>
    </row>
    <row r="4">
      <c r="A4" s="1"/>
      <c r="B4" s="1" t="s">
        <v>17</v>
      </c>
      <c r="C4" s="1">
        <v>82.0</v>
      </c>
      <c r="E4" s="1"/>
      <c r="F4" s="1" t="s">
        <v>18</v>
      </c>
      <c r="G4" s="1">
        <v>7150.0</v>
      </c>
      <c r="I4" s="1"/>
      <c r="J4" s="1" t="s">
        <v>19</v>
      </c>
      <c r="K4" s="1">
        <v>67.0</v>
      </c>
      <c r="M4" s="1"/>
      <c r="N4" s="1" t="s">
        <v>20</v>
      </c>
      <c r="O4" s="1">
        <v>250.0</v>
      </c>
      <c r="P4" s="1"/>
      <c r="Q4" s="1">
        <v>0.05</v>
      </c>
    </row>
    <row r="5">
      <c r="A5" s="1"/>
      <c r="B5" s="1" t="s">
        <v>21</v>
      </c>
      <c r="C5" s="1">
        <v>105.0</v>
      </c>
      <c r="E5" s="1"/>
      <c r="F5" s="1" t="s">
        <v>22</v>
      </c>
      <c r="G5" s="1">
        <v>2291.0</v>
      </c>
      <c r="I5" s="1"/>
      <c r="J5" s="1" t="s">
        <v>23</v>
      </c>
      <c r="K5" s="1">
        <v>56.0</v>
      </c>
      <c r="M5" s="1"/>
      <c r="N5" s="1" t="s">
        <v>24</v>
      </c>
      <c r="O5" s="1">
        <v>28.0</v>
      </c>
      <c r="P5" s="1"/>
      <c r="Q5" s="1">
        <f t="shared" ref="Q5:Q8" si="1">0.2*0.25</f>
        <v>0.05</v>
      </c>
    </row>
    <row r="6">
      <c r="A6" s="1"/>
      <c r="B6" s="1" t="s">
        <v>25</v>
      </c>
      <c r="C6" s="1">
        <v>335.0</v>
      </c>
      <c r="E6" s="1"/>
      <c r="F6" s="1" t="s">
        <v>26</v>
      </c>
      <c r="G6" s="1">
        <v>3100.0</v>
      </c>
      <c r="I6" s="1"/>
      <c r="J6" s="1" t="s">
        <v>27</v>
      </c>
      <c r="K6" s="1">
        <v>105.0</v>
      </c>
      <c r="M6" s="1"/>
      <c r="N6" s="1" t="s">
        <v>28</v>
      </c>
      <c r="O6" s="1">
        <v>19.0</v>
      </c>
      <c r="P6" s="1"/>
      <c r="Q6" s="1">
        <f t="shared" si="1"/>
        <v>0.05</v>
      </c>
    </row>
    <row r="7">
      <c r="A7" s="1"/>
      <c r="B7" s="1" t="s">
        <v>29</v>
      </c>
      <c r="C7" s="1">
        <v>50.0</v>
      </c>
      <c r="E7" s="1"/>
      <c r="F7" s="1" t="s">
        <v>30</v>
      </c>
      <c r="G7" s="1">
        <v>5900.0</v>
      </c>
      <c r="I7" s="1"/>
      <c r="J7" s="1" t="s">
        <v>31</v>
      </c>
      <c r="K7" s="1">
        <v>24.0</v>
      </c>
      <c r="M7" s="1"/>
      <c r="N7" s="1" t="s">
        <v>32</v>
      </c>
      <c r="O7" s="1">
        <v>29.0</v>
      </c>
      <c r="P7" s="1"/>
      <c r="Q7" s="1">
        <f t="shared" si="1"/>
        <v>0.05</v>
      </c>
    </row>
    <row r="8">
      <c r="A8" s="1"/>
      <c r="B8" s="1" t="s">
        <v>33</v>
      </c>
      <c r="C8" s="1">
        <v>160.0</v>
      </c>
      <c r="I8" s="1"/>
      <c r="J8" s="1" t="s">
        <v>34</v>
      </c>
      <c r="K8" s="1">
        <v>67.0</v>
      </c>
      <c r="M8" s="1"/>
      <c r="N8" s="1" t="s">
        <v>35</v>
      </c>
      <c r="O8" s="1">
        <v>17.0</v>
      </c>
      <c r="P8" s="1"/>
      <c r="Q8" s="1">
        <f t="shared" si="1"/>
        <v>0.05</v>
      </c>
    </row>
    <row r="9">
      <c r="A9" s="1"/>
      <c r="B9" s="1" t="s">
        <v>36</v>
      </c>
      <c r="C9" s="1">
        <v>96.0</v>
      </c>
      <c r="M9" s="1"/>
      <c r="N9" s="1" t="s">
        <v>37</v>
      </c>
      <c r="O9" s="1">
        <v>650.0</v>
      </c>
      <c r="P9" s="1"/>
      <c r="Q9" s="1">
        <v>0.05</v>
      </c>
    </row>
    <row r="10">
      <c r="A10" s="1"/>
      <c r="B10" s="1" t="s">
        <v>38</v>
      </c>
      <c r="C10" s="1">
        <v>37.0</v>
      </c>
      <c r="M10" s="1"/>
      <c r="N10" s="1" t="s">
        <v>39</v>
      </c>
      <c r="O10" s="1">
        <v>6200.0</v>
      </c>
      <c r="P10" s="1"/>
      <c r="Q10" s="1">
        <v>0.05</v>
      </c>
    </row>
    <row r="11">
      <c r="A11" s="1"/>
      <c r="B11" s="1" t="s">
        <v>40</v>
      </c>
      <c r="C11" s="1">
        <v>14.0</v>
      </c>
      <c r="M11" s="1"/>
      <c r="N11" s="1" t="s">
        <v>41</v>
      </c>
      <c r="O11" s="1">
        <v>850.0</v>
      </c>
      <c r="P11" s="1"/>
      <c r="Q11" s="1">
        <v>0.05</v>
      </c>
    </row>
    <row r="12">
      <c r="A12" s="1"/>
      <c r="B12" s="1" t="s">
        <v>42</v>
      </c>
      <c r="C12" s="1">
        <v>290.0</v>
      </c>
      <c r="M12" s="1"/>
      <c r="N12" s="1" t="s">
        <v>43</v>
      </c>
      <c r="O12" s="1">
        <v>145.0</v>
      </c>
      <c r="P12" s="1"/>
      <c r="Q12" s="2">
        <f t="shared" ref="Q12:Q16" si="2">0.3*0.17</f>
        <v>0.051</v>
      </c>
    </row>
    <row r="13">
      <c r="M13" s="1"/>
      <c r="N13" s="1" t="s">
        <v>44</v>
      </c>
      <c r="O13" s="1">
        <v>44.0</v>
      </c>
      <c r="P13" s="1"/>
      <c r="Q13" s="2">
        <f t="shared" si="2"/>
        <v>0.051</v>
      </c>
    </row>
    <row r="14">
      <c r="M14" s="1"/>
      <c r="N14" s="1" t="s">
        <v>45</v>
      </c>
      <c r="O14" s="1">
        <v>64.0</v>
      </c>
      <c r="P14" s="1"/>
      <c r="Q14" s="2">
        <f t="shared" si="2"/>
        <v>0.051</v>
      </c>
    </row>
    <row r="15">
      <c r="M15" s="1"/>
      <c r="N15" s="1" t="s">
        <v>46</v>
      </c>
      <c r="O15" s="1">
        <v>42.0</v>
      </c>
      <c r="P15" s="1"/>
      <c r="Q15" s="2">
        <f t="shared" si="2"/>
        <v>0.051</v>
      </c>
    </row>
    <row r="16">
      <c r="M16" s="1"/>
      <c r="N16" s="1" t="s">
        <v>47</v>
      </c>
      <c r="O16" s="1">
        <v>78.0</v>
      </c>
      <c r="P16" s="1"/>
      <c r="Q16" s="2">
        <f t="shared" si="2"/>
        <v>0.051</v>
      </c>
    </row>
    <row r="17">
      <c r="M17" s="1"/>
      <c r="N17" s="1" t="s">
        <v>48</v>
      </c>
      <c r="O17" s="1">
        <v>135.0</v>
      </c>
      <c r="P17" s="1"/>
      <c r="Q17" s="2">
        <f>0.3*0.15</f>
        <v>0.045</v>
      </c>
    </row>
    <row r="18">
      <c r="M18" s="1"/>
      <c r="N18" s="1" t="s">
        <v>49</v>
      </c>
      <c r="O18" s="1">
        <v>2900.0</v>
      </c>
      <c r="P18" s="1"/>
      <c r="Q18" s="1">
        <v>0.05</v>
      </c>
    </row>
    <row r="19">
      <c r="M19" s="1"/>
      <c r="N19" s="1" t="s">
        <v>50</v>
      </c>
      <c r="O19" s="1">
        <v>14000.0</v>
      </c>
      <c r="P19" s="1"/>
      <c r="Q19" s="1">
        <v>0.05</v>
      </c>
    </row>
    <row r="20">
      <c r="M20" s="1"/>
      <c r="N20" s="1" t="s">
        <v>51</v>
      </c>
      <c r="O20" s="1">
        <v>1690.0</v>
      </c>
      <c r="P20" s="1"/>
      <c r="Q20" s="1">
        <v>0.05</v>
      </c>
    </row>
    <row r="21">
      <c r="M21" s="1"/>
      <c r="N21" s="1" t="s">
        <v>52</v>
      </c>
      <c r="O21" s="1">
        <v>228.0</v>
      </c>
      <c r="P21" s="1"/>
      <c r="Q21" s="2">
        <f t="shared" ref="Q21:Q24" si="3">0.35*0.13</f>
        <v>0.0455</v>
      </c>
    </row>
    <row r="22">
      <c r="M22" s="1"/>
      <c r="N22" s="1" t="s">
        <v>53</v>
      </c>
      <c r="O22" s="1">
        <v>94.0</v>
      </c>
      <c r="P22" s="1"/>
      <c r="Q22" s="2">
        <f t="shared" si="3"/>
        <v>0.0455</v>
      </c>
    </row>
    <row r="23">
      <c r="M23" s="1"/>
      <c r="N23" s="1" t="s">
        <v>54</v>
      </c>
      <c r="O23" s="1">
        <v>88.0</v>
      </c>
      <c r="P23" s="1"/>
      <c r="Q23" s="2">
        <f t="shared" si="3"/>
        <v>0.0455</v>
      </c>
    </row>
    <row r="24">
      <c r="M24" s="1"/>
      <c r="N24" s="1" t="s">
        <v>55</v>
      </c>
      <c r="O24" s="1">
        <v>555.0</v>
      </c>
      <c r="P24" s="1"/>
      <c r="Q24" s="2">
        <f t="shared" si="3"/>
        <v>0.0455</v>
      </c>
    </row>
    <row r="25">
      <c r="M25" s="1"/>
      <c r="N25" s="1" t="s">
        <v>56</v>
      </c>
      <c r="O25" s="1">
        <v>500.0</v>
      </c>
      <c r="P25" s="1"/>
      <c r="Q25" s="2">
        <f>0.35*0.12</f>
        <v>0.042</v>
      </c>
    </row>
    <row r="26">
      <c r="M26" s="1"/>
      <c r="N26" s="1" t="s">
        <v>57</v>
      </c>
      <c r="O26" s="1">
        <v>404.0</v>
      </c>
      <c r="P26" s="1"/>
      <c r="Q26" s="2">
        <f t="shared" ref="Q26:Q29" si="4">0.35*0.1</f>
        <v>0.035</v>
      </c>
    </row>
    <row r="27">
      <c r="M27" s="1"/>
      <c r="N27" s="1" t="s">
        <v>58</v>
      </c>
      <c r="O27" s="1">
        <v>295.0</v>
      </c>
      <c r="P27" s="1"/>
      <c r="Q27" s="2">
        <f t="shared" si="4"/>
        <v>0.035</v>
      </c>
    </row>
    <row r="28">
      <c r="M28" s="1"/>
      <c r="N28" s="1" t="s">
        <v>59</v>
      </c>
      <c r="O28" s="1">
        <v>199.0</v>
      </c>
      <c r="P28" s="1"/>
      <c r="Q28" s="2">
        <f t="shared" si="4"/>
        <v>0.035</v>
      </c>
    </row>
    <row r="29">
      <c r="M29" s="1"/>
      <c r="N29" s="1" t="s">
        <v>60</v>
      </c>
      <c r="O29" s="1">
        <v>244.0</v>
      </c>
      <c r="P29" s="1"/>
      <c r="Q29" s="2">
        <f t="shared" si="4"/>
        <v>0.035</v>
      </c>
    </row>
    <row r="30">
      <c r="M30" s="1"/>
      <c r="N30" s="1" t="s">
        <v>61</v>
      </c>
      <c r="O30" s="1">
        <v>15000.0</v>
      </c>
      <c r="P30" s="1"/>
      <c r="Q30" s="1">
        <v>0.05</v>
      </c>
    </row>
    <row r="31">
      <c r="M31" s="1"/>
      <c r="N31" s="1" t="s">
        <v>62</v>
      </c>
      <c r="O31" s="1">
        <v>33000.0</v>
      </c>
      <c r="P31" s="1"/>
      <c r="Q31" s="1">
        <v>0.05</v>
      </c>
    </row>
    <row r="32">
      <c r="M32" s="1"/>
      <c r="N32" s="1" t="s">
        <v>63</v>
      </c>
      <c r="O32" s="1">
        <v>5998.0</v>
      </c>
      <c r="P32" s="1"/>
      <c r="Q32" s="1">
        <v>0.05</v>
      </c>
    </row>
    <row r="33">
      <c r="M33" s="1"/>
      <c r="N33" s="1" t="s">
        <v>64</v>
      </c>
      <c r="O33" s="1">
        <v>117.0</v>
      </c>
      <c r="P33" s="1"/>
      <c r="Q33" s="2">
        <f t="shared" ref="Q33:Q37" si="5">0.26*0.18</f>
        <v>0.0468</v>
      </c>
    </row>
    <row r="34">
      <c r="M34" s="1"/>
      <c r="N34" s="1" t="s">
        <v>65</v>
      </c>
      <c r="O34" s="1">
        <v>119.0</v>
      </c>
      <c r="P34" s="1"/>
      <c r="Q34" s="2">
        <f t="shared" si="5"/>
        <v>0.0468</v>
      </c>
    </row>
    <row r="35">
      <c r="M35" s="1"/>
      <c r="N35" s="1" t="s">
        <v>66</v>
      </c>
      <c r="O35" s="1">
        <v>130.0</v>
      </c>
      <c r="P35" s="1"/>
      <c r="Q35" s="2">
        <f t="shared" si="5"/>
        <v>0.0468</v>
      </c>
    </row>
    <row r="36">
      <c r="M36" s="1"/>
      <c r="N36" s="1" t="s">
        <v>67</v>
      </c>
      <c r="O36" s="1">
        <v>137.0</v>
      </c>
      <c r="P36" s="1"/>
      <c r="Q36" s="2">
        <f t="shared" si="5"/>
        <v>0.0468</v>
      </c>
    </row>
    <row r="37">
      <c r="M37" s="1"/>
      <c r="N37" s="1" t="s">
        <v>68</v>
      </c>
      <c r="O37" s="1">
        <v>120.0</v>
      </c>
      <c r="P37" s="1"/>
      <c r="Q37" s="2">
        <f t="shared" si="5"/>
        <v>0.0468</v>
      </c>
    </row>
    <row r="38">
      <c r="M38" s="1"/>
      <c r="N38" s="1" t="s">
        <v>69</v>
      </c>
      <c r="O38" s="1">
        <v>549.0</v>
      </c>
      <c r="P38" s="1"/>
      <c r="Q38" s="2">
        <f>0.26*0.1</f>
        <v>0.026</v>
      </c>
    </row>
    <row r="39">
      <c r="M39" s="1"/>
      <c r="N39" s="1" t="s">
        <v>70</v>
      </c>
      <c r="O39" s="1">
        <v>1444.0</v>
      </c>
      <c r="P39" s="1"/>
      <c r="Q39" s="2">
        <f t="shared" ref="Q39:Q54" si="6">R39/100</f>
        <v>0.02</v>
      </c>
      <c r="R39" s="1">
        <v>2.0</v>
      </c>
    </row>
    <row r="40">
      <c r="M40" s="1"/>
      <c r="N40" s="1" t="s">
        <v>71</v>
      </c>
      <c r="O40" s="1">
        <v>1690.0</v>
      </c>
      <c r="P40" s="1"/>
      <c r="Q40" s="2">
        <f t="shared" si="6"/>
        <v>0.019</v>
      </c>
      <c r="R40" s="1">
        <v>1.9</v>
      </c>
    </row>
    <row r="41">
      <c r="M41" s="1"/>
      <c r="N41" s="1" t="s">
        <v>72</v>
      </c>
      <c r="O41" s="1">
        <v>599.0</v>
      </c>
      <c r="P41" s="1"/>
      <c r="Q41" s="2">
        <f t="shared" si="6"/>
        <v>0.02</v>
      </c>
      <c r="R41" s="1">
        <v>2.0</v>
      </c>
    </row>
    <row r="42">
      <c r="M42" s="1"/>
      <c r="N42" s="1" t="s">
        <v>73</v>
      </c>
      <c r="O42" s="1">
        <v>590.0</v>
      </c>
      <c r="P42" s="1"/>
      <c r="Q42" s="2">
        <f t="shared" si="6"/>
        <v>0.019</v>
      </c>
      <c r="R42" s="1">
        <v>1.9</v>
      </c>
    </row>
    <row r="43">
      <c r="M43" s="1"/>
      <c r="N43" s="1" t="s">
        <v>74</v>
      </c>
      <c r="O43" s="1">
        <v>890.0</v>
      </c>
      <c r="P43" s="1"/>
      <c r="Q43" s="2">
        <f t="shared" si="6"/>
        <v>0.02</v>
      </c>
      <c r="R43" s="1">
        <v>2.0</v>
      </c>
    </row>
    <row r="44">
      <c r="M44" s="1"/>
      <c r="N44" s="1" t="s">
        <v>75</v>
      </c>
      <c r="O44" s="1">
        <v>900.0</v>
      </c>
      <c r="P44" s="1"/>
      <c r="Q44" s="2">
        <f t="shared" si="6"/>
        <v>0.019</v>
      </c>
      <c r="R44" s="1">
        <v>1.9</v>
      </c>
    </row>
    <row r="45">
      <c r="M45" s="1"/>
      <c r="N45" s="1" t="s">
        <v>76</v>
      </c>
      <c r="O45" s="1">
        <v>1499.0</v>
      </c>
      <c r="P45" s="1"/>
      <c r="Q45" s="2">
        <f t="shared" si="6"/>
        <v>0.02</v>
      </c>
      <c r="R45" s="1">
        <v>2.0</v>
      </c>
    </row>
    <row r="46">
      <c r="M46" s="1"/>
      <c r="N46" s="1" t="s">
        <v>77</v>
      </c>
      <c r="O46" s="1">
        <v>1300.0</v>
      </c>
      <c r="P46" s="1"/>
      <c r="Q46" s="2">
        <f t="shared" si="6"/>
        <v>0.019</v>
      </c>
      <c r="R46" s="1">
        <v>1.9</v>
      </c>
    </row>
    <row r="47">
      <c r="M47" s="1"/>
      <c r="N47" s="1" t="s">
        <v>78</v>
      </c>
      <c r="O47" s="1">
        <v>1800.0</v>
      </c>
      <c r="P47" s="1"/>
      <c r="Q47" s="2">
        <f t="shared" si="6"/>
        <v>0.02</v>
      </c>
      <c r="R47" s="1">
        <v>2.0</v>
      </c>
    </row>
    <row r="48">
      <c r="M48" s="1"/>
      <c r="N48" s="1" t="s">
        <v>79</v>
      </c>
      <c r="O48" s="1">
        <v>899.0</v>
      </c>
      <c r="P48" s="1"/>
      <c r="Q48" s="2">
        <f t="shared" si="6"/>
        <v>0.02</v>
      </c>
      <c r="R48" s="1">
        <v>2.0</v>
      </c>
    </row>
    <row r="49">
      <c r="M49" s="1"/>
      <c r="N49" s="1" t="s">
        <v>80</v>
      </c>
      <c r="O49" s="1">
        <v>2888.0</v>
      </c>
      <c r="P49" s="1"/>
      <c r="Q49" s="2">
        <f t="shared" si="6"/>
        <v>0.019</v>
      </c>
      <c r="R49" s="1">
        <v>1.9</v>
      </c>
    </row>
    <row r="50">
      <c r="M50" s="1"/>
      <c r="N50" s="1" t="s">
        <v>81</v>
      </c>
      <c r="O50" s="1">
        <v>3150.0</v>
      </c>
      <c r="P50" s="1"/>
      <c r="Q50" s="2">
        <f t="shared" si="6"/>
        <v>0.02</v>
      </c>
      <c r="R50" s="1">
        <v>2.0</v>
      </c>
    </row>
    <row r="51">
      <c r="M51" s="1"/>
      <c r="N51" s="1" t="s">
        <v>82</v>
      </c>
      <c r="O51" s="1">
        <v>3700.0</v>
      </c>
      <c r="P51" s="1"/>
      <c r="Q51" s="2">
        <f t="shared" si="6"/>
        <v>0.019</v>
      </c>
      <c r="R51" s="1">
        <v>1.9</v>
      </c>
    </row>
    <row r="52">
      <c r="M52" s="1"/>
      <c r="N52" s="1" t="s">
        <v>83</v>
      </c>
      <c r="O52" s="1">
        <v>1199.0</v>
      </c>
      <c r="P52" s="1"/>
      <c r="Q52" s="2">
        <f t="shared" si="6"/>
        <v>0.02</v>
      </c>
      <c r="R52" s="1">
        <v>2.0</v>
      </c>
    </row>
    <row r="53">
      <c r="M53" s="1"/>
      <c r="N53" s="1" t="s">
        <v>84</v>
      </c>
      <c r="O53" s="1">
        <v>12999.0</v>
      </c>
      <c r="P53" s="1"/>
      <c r="Q53" s="2">
        <f t="shared" si="6"/>
        <v>0.02</v>
      </c>
      <c r="R53" s="1">
        <v>2.0</v>
      </c>
    </row>
    <row r="54">
      <c r="M54" s="1"/>
      <c r="N54" s="1" t="s">
        <v>85</v>
      </c>
      <c r="O54" s="1">
        <v>14000.0</v>
      </c>
      <c r="P54" s="1"/>
      <c r="Q54" s="2">
        <f t="shared" si="6"/>
        <v>0.019</v>
      </c>
      <c r="R54" s="1">
        <v>1.9</v>
      </c>
    </row>
    <row r="55">
      <c r="M55" s="1"/>
      <c r="N55" s="1" t="s">
        <v>86</v>
      </c>
      <c r="O55" s="1">
        <v>8898.0</v>
      </c>
      <c r="P55" s="1"/>
      <c r="Q55" s="2">
        <f t="shared" ref="Q55:Q56" si="7">0.14*0.12</f>
        <v>0.0168</v>
      </c>
    </row>
    <row r="56">
      <c r="M56" s="1"/>
      <c r="N56" s="1" t="s">
        <v>87</v>
      </c>
      <c r="O56" s="1">
        <v>11500.0</v>
      </c>
      <c r="P56" s="1"/>
      <c r="Q56" s="2">
        <f t="shared" si="7"/>
        <v>0.0168</v>
      </c>
    </row>
    <row r="57">
      <c r="M57" s="1"/>
      <c r="N57" s="1" t="s">
        <v>88</v>
      </c>
      <c r="O57" s="1">
        <v>0.0</v>
      </c>
      <c r="P57" s="1"/>
      <c r="Q57" s="2">
        <f t="shared" ref="Q57:Q58" si="8">0.14*0.38</f>
        <v>0.0532</v>
      </c>
    </row>
    <row r="58">
      <c r="M58" s="1"/>
      <c r="N58" s="1" t="s">
        <v>89</v>
      </c>
      <c r="O58" s="1">
        <v>0.0</v>
      </c>
      <c r="P58" s="1"/>
      <c r="Q58" s="2">
        <f t="shared" si="8"/>
        <v>0.0532</v>
      </c>
    </row>
    <row r="59">
      <c r="M59" s="1"/>
      <c r="N59" s="1" t="s">
        <v>90</v>
      </c>
      <c r="O59" s="1">
        <v>850.0</v>
      </c>
      <c r="P59" s="1"/>
      <c r="Q59" s="2">
        <f t="shared" ref="Q59:Q78" si="9">R59/100</f>
        <v>0.018</v>
      </c>
      <c r="R59" s="1">
        <v>1.8</v>
      </c>
    </row>
    <row r="60">
      <c r="M60" s="1"/>
      <c r="N60" s="1" t="s">
        <v>91</v>
      </c>
      <c r="O60" s="1">
        <v>1095.0</v>
      </c>
      <c r="P60" s="1"/>
      <c r="Q60" s="2">
        <f t="shared" si="9"/>
        <v>0.016</v>
      </c>
      <c r="R60" s="1">
        <v>1.6</v>
      </c>
    </row>
    <row r="61">
      <c r="M61" s="1"/>
      <c r="N61" s="1" t="s">
        <v>92</v>
      </c>
      <c r="O61" s="1">
        <v>650.0</v>
      </c>
      <c r="P61" s="1"/>
      <c r="Q61" s="2">
        <f t="shared" si="9"/>
        <v>0.018</v>
      </c>
      <c r="R61" s="1">
        <v>1.8</v>
      </c>
    </row>
    <row r="62">
      <c r="M62" s="1"/>
      <c r="N62" s="1" t="s">
        <v>93</v>
      </c>
      <c r="O62" s="1">
        <v>500.0</v>
      </c>
      <c r="P62" s="1"/>
      <c r="Q62" s="2">
        <f t="shared" si="9"/>
        <v>0.016</v>
      </c>
      <c r="R62" s="1">
        <v>1.6</v>
      </c>
    </row>
    <row r="63">
      <c r="M63" s="1"/>
      <c r="N63" s="1" t="s">
        <v>94</v>
      </c>
      <c r="O63" s="1">
        <v>799.0</v>
      </c>
      <c r="P63" s="1"/>
      <c r="Q63" s="2">
        <f t="shared" si="9"/>
        <v>0.018</v>
      </c>
      <c r="R63" s="1">
        <v>1.8</v>
      </c>
    </row>
    <row r="64">
      <c r="M64" s="1"/>
      <c r="N64" s="1" t="s">
        <v>95</v>
      </c>
      <c r="O64" s="1">
        <v>1000.0</v>
      </c>
      <c r="P64" s="1"/>
      <c r="Q64" s="2">
        <f t="shared" si="9"/>
        <v>0.016</v>
      </c>
      <c r="R64" s="1">
        <v>1.6</v>
      </c>
    </row>
    <row r="65">
      <c r="M65" s="1"/>
      <c r="N65" s="1" t="s">
        <v>96</v>
      </c>
      <c r="O65" s="1">
        <v>690.0</v>
      </c>
      <c r="P65" s="1"/>
      <c r="Q65" s="2">
        <f t="shared" si="9"/>
        <v>0.018</v>
      </c>
      <c r="R65" s="1">
        <v>1.8</v>
      </c>
    </row>
    <row r="66">
      <c r="M66" s="1"/>
      <c r="N66" s="1" t="s">
        <v>97</v>
      </c>
      <c r="O66" s="1">
        <v>1000.0</v>
      </c>
      <c r="P66" s="1"/>
      <c r="Q66" s="2">
        <f t="shared" si="9"/>
        <v>0.016</v>
      </c>
      <c r="R66" s="1">
        <v>1.6</v>
      </c>
    </row>
    <row r="67">
      <c r="M67" s="1"/>
      <c r="N67" s="1" t="s">
        <v>98</v>
      </c>
      <c r="O67" s="1">
        <v>2000.0</v>
      </c>
      <c r="P67" s="1"/>
      <c r="Q67" s="2">
        <f t="shared" si="9"/>
        <v>0.018</v>
      </c>
      <c r="R67" s="1">
        <v>1.8</v>
      </c>
    </row>
    <row r="68">
      <c r="M68" s="1"/>
      <c r="N68" s="1" t="s">
        <v>99</v>
      </c>
      <c r="O68" s="1">
        <v>999.0</v>
      </c>
      <c r="P68" s="1"/>
      <c r="Q68" s="2">
        <f t="shared" si="9"/>
        <v>0.018</v>
      </c>
      <c r="R68" s="1">
        <v>1.8</v>
      </c>
    </row>
    <row r="69">
      <c r="M69" s="1"/>
      <c r="N69" s="1" t="s">
        <v>100</v>
      </c>
      <c r="O69" s="1">
        <v>2499.0</v>
      </c>
      <c r="P69" s="1"/>
      <c r="Q69" s="2">
        <f t="shared" si="9"/>
        <v>0.016</v>
      </c>
      <c r="R69" s="1">
        <v>1.6</v>
      </c>
    </row>
    <row r="70">
      <c r="M70" s="1"/>
      <c r="N70" s="1" t="s">
        <v>101</v>
      </c>
      <c r="O70" s="1">
        <v>1900.0</v>
      </c>
      <c r="P70" s="1"/>
      <c r="Q70" s="2">
        <f t="shared" si="9"/>
        <v>0.018</v>
      </c>
      <c r="R70" s="1">
        <v>1.8</v>
      </c>
    </row>
    <row r="71">
      <c r="M71" s="1"/>
      <c r="N71" s="1" t="s">
        <v>102</v>
      </c>
      <c r="O71" s="1">
        <v>1425.0</v>
      </c>
      <c r="P71" s="1"/>
      <c r="Q71" s="2">
        <f t="shared" si="9"/>
        <v>0.016</v>
      </c>
      <c r="R71" s="1">
        <v>1.6</v>
      </c>
    </row>
    <row r="72">
      <c r="M72" s="1"/>
      <c r="N72" s="1" t="s">
        <v>103</v>
      </c>
      <c r="O72" s="1">
        <v>900.0</v>
      </c>
      <c r="P72" s="1"/>
      <c r="Q72" s="2">
        <f t="shared" si="9"/>
        <v>0.018</v>
      </c>
      <c r="R72" s="1">
        <v>1.8</v>
      </c>
    </row>
    <row r="73">
      <c r="M73" s="1"/>
      <c r="N73" s="1" t="s">
        <v>104</v>
      </c>
      <c r="O73" s="1">
        <v>950.0</v>
      </c>
      <c r="P73" s="1"/>
      <c r="Q73" s="2">
        <f t="shared" si="9"/>
        <v>0.016</v>
      </c>
      <c r="R73" s="1">
        <v>1.6</v>
      </c>
    </row>
    <row r="74">
      <c r="M74" s="1"/>
      <c r="N74" s="1" t="s">
        <v>105</v>
      </c>
      <c r="O74" s="1">
        <v>3999.0</v>
      </c>
      <c r="P74" s="1"/>
      <c r="Q74" s="2">
        <f t="shared" si="9"/>
        <v>0.018</v>
      </c>
      <c r="R74" s="1">
        <v>1.8</v>
      </c>
    </row>
    <row r="75">
      <c r="M75" s="1"/>
      <c r="N75" s="1" t="s">
        <v>106</v>
      </c>
      <c r="O75" s="1">
        <v>13000.0</v>
      </c>
      <c r="P75" s="1"/>
      <c r="Q75" s="2">
        <f t="shared" si="9"/>
        <v>0.018</v>
      </c>
      <c r="R75" s="1">
        <v>1.8</v>
      </c>
    </row>
    <row r="76">
      <c r="M76" s="1"/>
      <c r="N76" s="1" t="s">
        <v>107</v>
      </c>
      <c r="O76" s="1">
        <v>78000.0</v>
      </c>
      <c r="P76" s="1"/>
      <c r="Q76" s="2">
        <f t="shared" si="9"/>
        <v>0.04</v>
      </c>
      <c r="R76" s="1">
        <v>4.0</v>
      </c>
    </row>
    <row r="77">
      <c r="M77" s="1"/>
      <c r="N77" s="1" t="s">
        <v>108</v>
      </c>
      <c r="O77" s="1">
        <v>112000.0</v>
      </c>
      <c r="P77" s="1"/>
      <c r="Q77" s="2">
        <f t="shared" si="9"/>
        <v>0.04</v>
      </c>
      <c r="R77" s="1">
        <v>4.0</v>
      </c>
    </row>
    <row r="78">
      <c r="M78" s="1"/>
      <c r="N78" s="1" t="s">
        <v>109</v>
      </c>
      <c r="O78" s="1">
        <v>42500.0</v>
      </c>
      <c r="P78" s="1"/>
      <c r="Q78" s="2">
        <f t="shared" si="9"/>
        <v>0.04</v>
      </c>
      <c r="R78" s="1">
        <v>4.0</v>
      </c>
    </row>
    <row r="79">
      <c r="M79" s="1"/>
      <c r="N79" s="1" t="s">
        <v>110</v>
      </c>
      <c r="O79" s="1">
        <v>2893.0</v>
      </c>
      <c r="P79" s="1"/>
      <c r="Q79" s="2">
        <f t="shared" ref="Q79:Q80" si="10">0.14*0.12</f>
        <v>0.0168</v>
      </c>
    </row>
    <row r="80">
      <c r="M80" s="1"/>
      <c r="N80" s="1" t="s">
        <v>111</v>
      </c>
      <c r="O80" s="1">
        <v>1500.0</v>
      </c>
      <c r="P80" s="1"/>
      <c r="Q80" s="2">
        <f t="shared" si="10"/>
        <v>0.0168</v>
      </c>
    </row>
    <row r="81">
      <c r="M81" s="1"/>
      <c r="N81" s="1" t="s">
        <v>112</v>
      </c>
      <c r="O81" s="1">
        <v>0.0</v>
      </c>
      <c r="P81" s="1"/>
      <c r="Q81" s="2">
        <f t="shared" ref="Q81:Q82" si="11">0.14*0.38</f>
        <v>0.0532</v>
      </c>
    </row>
    <row r="82">
      <c r="M82" s="1"/>
      <c r="N82" s="1" t="s">
        <v>113</v>
      </c>
      <c r="O82" s="1">
        <v>0.0</v>
      </c>
      <c r="P82" s="1"/>
      <c r="Q82" s="2">
        <f t="shared" si="11"/>
        <v>0.0532</v>
      </c>
    </row>
    <row r="83">
      <c r="M83" s="1"/>
      <c r="N83" s="1" t="s">
        <v>114</v>
      </c>
      <c r="O83" s="1">
        <v>8500.0</v>
      </c>
      <c r="P83" s="1"/>
      <c r="Q83" s="2">
        <f t="shared" ref="Q83:Q98" si="12">R83/100</f>
        <v>0.015</v>
      </c>
      <c r="R83" s="1">
        <v>1.5</v>
      </c>
    </row>
    <row r="84">
      <c r="M84" s="1"/>
      <c r="N84" s="1" t="s">
        <v>115</v>
      </c>
      <c r="O84" s="1">
        <v>1280.0</v>
      </c>
      <c r="P84" s="1"/>
      <c r="Q84" s="2">
        <f t="shared" si="12"/>
        <v>0.013</v>
      </c>
      <c r="R84" s="1">
        <v>1.3</v>
      </c>
    </row>
    <row r="85">
      <c r="M85" s="1"/>
      <c r="N85" s="1" t="s">
        <v>116</v>
      </c>
      <c r="O85" s="1">
        <v>895.0</v>
      </c>
      <c r="P85" s="1"/>
      <c r="Q85" s="2">
        <f t="shared" si="12"/>
        <v>0.015</v>
      </c>
      <c r="R85" s="1">
        <v>1.5</v>
      </c>
    </row>
    <row r="86">
      <c r="M86" s="1"/>
      <c r="N86" s="1" t="s">
        <v>117</v>
      </c>
      <c r="O86" s="1">
        <v>1200.0</v>
      </c>
      <c r="P86" s="1"/>
      <c r="Q86" s="2">
        <f t="shared" si="12"/>
        <v>0.013</v>
      </c>
      <c r="R86" s="1">
        <v>1.3</v>
      </c>
    </row>
    <row r="87">
      <c r="M87" s="1"/>
      <c r="N87" s="1" t="s">
        <v>118</v>
      </c>
      <c r="O87" s="1">
        <v>795.0</v>
      </c>
      <c r="P87" s="1"/>
      <c r="Q87" s="2">
        <f t="shared" si="12"/>
        <v>0.015</v>
      </c>
      <c r="R87" s="1">
        <v>1.5</v>
      </c>
    </row>
    <row r="88">
      <c r="M88" s="1"/>
      <c r="N88" s="1" t="s">
        <v>119</v>
      </c>
      <c r="O88" s="1">
        <v>1300.0</v>
      </c>
      <c r="P88" s="1"/>
      <c r="Q88" s="2">
        <f t="shared" si="12"/>
        <v>0.013</v>
      </c>
      <c r="R88" s="1">
        <v>1.3</v>
      </c>
    </row>
    <row r="89">
      <c r="M89" s="1"/>
      <c r="N89" s="1" t="s">
        <v>120</v>
      </c>
      <c r="O89" s="1">
        <v>3450.0</v>
      </c>
      <c r="P89" s="1"/>
      <c r="Q89" s="2">
        <f t="shared" si="12"/>
        <v>0.015</v>
      </c>
      <c r="R89" s="1">
        <v>1.5</v>
      </c>
    </row>
    <row r="90">
      <c r="M90" s="1"/>
      <c r="N90" s="1" t="s">
        <v>121</v>
      </c>
      <c r="O90" s="1">
        <v>2800.0</v>
      </c>
      <c r="P90" s="1"/>
      <c r="Q90" s="2">
        <f t="shared" si="12"/>
        <v>0.013</v>
      </c>
      <c r="R90" s="1">
        <v>1.3</v>
      </c>
    </row>
    <row r="91">
      <c r="M91" s="1"/>
      <c r="N91" s="1" t="s">
        <v>122</v>
      </c>
      <c r="O91" s="1">
        <v>3000.0</v>
      </c>
      <c r="P91" s="1"/>
      <c r="Q91" s="2">
        <f t="shared" si="12"/>
        <v>0.015</v>
      </c>
      <c r="R91" s="1">
        <v>1.5</v>
      </c>
    </row>
    <row r="92">
      <c r="M92" s="1"/>
      <c r="N92" s="1" t="s">
        <v>123</v>
      </c>
      <c r="O92" s="1">
        <v>3799.0</v>
      </c>
      <c r="P92" s="1"/>
      <c r="Q92" s="2">
        <f t="shared" si="12"/>
        <v>0.013</v>
      </c>
      <c r="R92" s="1">
        <v>1.3</v>
      </c>
    </row>
    <row r="93">
      <c r="M93" s="1"/>
      <c r="N93" s="1" t="s">
        <v>124</v>
      </c>
      <c r="O93" s="1">
        <v>997.0</v>
      </c>
      <c r="P93" s="1"/>
      <c r="Q93" s="2">
        <f t="shared" si="12"/>
        <v>0.015</v>
      </c>
      <c r="R93" s="1">
        <v>1.5</v>
      </c>
    </row>
    <row r="94">
      <c r="M94" s="1"/>
      <c r="N94" s="1" t="s">
        <v>125</v>
      </c>
      <c r="O94" s="1">
        <v>8000.0</v>
      </c>
      <c r="P94" s="1"/>
      <c r="Q94" s="2">
        <f t="shared" si="12"/>
        <v>0.015</v>
      </c>
      <c r="R94" s="1">
        <v>1.5</v>
      </c>
    </row>
    <row r="95">
      <c r="M95" s="1"/>
      <c r="N95" s="1" t="s">
        <v>126</v>
      </c>
      <c r="O95" s="1">
        <v>2999.0</v>
      </c>
      <c r="P95" s="1"/>
      <c r="Q95" s="2">
        <f t="shared" si="12"/>
        <v>0.015</v>
      </c>
      <c r="R95" s="1">
        <v>1.5</v>
      </c>
    </row>
    <row r="96">
      <c r="M96" s="1"/>
      <c r="N96" s="1" t="s">
        <v>127</v>
      </c>
      <c r="O96" s="1">
        <v>2288.0</v>
      </c>
      <c r="P96" s="1"/>
      <c r="Q96" s="2">
        <f t="shared" si="12"/>
        <v>0.015</v>
      </c>
      <c r="R96" s="1">
        <v>1.5</v>
      </c>
    </row>
    <row r="97">
      <c r="M97" s="1"/>
      <c r="N97" s="1" t="s">
        <v>128</v>
      </c>
      <c r="O97" s="1">
        <v>22500.0</v>
      </c>
      <c r="P97" s="1"/>
      <c r="Q97" s="2">
        <f t="shared" si="12"/>
        <v>0.015</v>
      </c>
      <c r="R97" s="1">
        <v>1.5</v>
      </c>
    </row>
    <row r="98">
      <c r="M98" s="1"/>
      <c r="N98" s="1" t="s">
        <v>129</v>
      </c>
      <c r="O98" s="1">
        <v>15800.0</v>
      </c>
      <c r="P98" s="1"/>
      <c r="Q98" s="2">
        <f t="shared" si="12"/>
        <v>0.015</v>
      </c>
      <c r="R98" s="1">
        <v>1.5</v>
      </c>
    </row>
    <row r="99">
      <c r="M99" s="1"/>
      <c r="N99" s="1" t="s">
        <v>130</v>
      </c>
      <c r="O99" s="1">
        <v>6000.0</v>
      </c>
      <c r="P99" s="1"/>
      <c r="Q99" s="2">
        <f t="shared" ref="Q99:Q100" si="13">0.1*0.12</f>
        <v>0.012</v>
      </c>
    </row>
    <row r="100">
      <c r="M100" s="1"/>
      <c r="N100" s="1" t="s">
        <v>131</v>
      </c>
      <c r="O100" s="1">
        <v>30000.0</v>
      </c>
      <c r="P100" s="1"/>
      <c r="Q100" s="2">
        <f t="shared" si="13"/>
        <v>0.012</v>
      </c>
    </row>
    <row r="101">
      <c r="M101" s="1"/>
      <c r="N101" s="1" t="s">
        <v>132</v>
      </c>
      <c r="O101" s="1">
        <v>0.0</v>
      </c>
      <c r="P101" s="1"/>
      <c r="Q101" s="2">
        <f t="shared" ref="Q101:Q102" si="14">0.1*0.38</f>
        <v>0.038</v>
      </c>
    </row>
    <row r="102">
      <c r="M102" s="1"/>
      <c r="N102" s="1" t="s">
        <v>133</v>
      </c>
      <c r="O102" s="1">
        <v>0.0</v>
      </c>
      <c r="P102" s="1"/>
      <c r="Q102" s="2">
        <f t="shared" si="14"/>
        <v>0.038</v>
      </c>
    </row>
    <row r="103">
      <c r="M103" s="1"/>
      <c r="N103" s="1" t="s">
        <v>134</v>
      </c>
      <c r="O103" s="1">
        <v>2500.0</v>
      </c>
      <c r="P103" s="1"/>
      <c r="Q103" s="2">
        <f t="shared" ref="Q103:Q121" si="15">R103/100</f>
        <v>0.012</v>
      </c>
      <c r="R103" s="1">
        <v>1.2</v>
      </c>
    </row>
    <row r="104">
      <c r="M104" s="1"/>
      <c r="N104" s="1" t="s">
        <v>135</v>
      </c>
      <c r="O104" s="1">
        <v>1995.0</v>
      </c>
      <c r="P104" s="1"/>
      <c r="Q104" s="2">
        <f t="shared" si="15"/>
        <v>0.011</v>
      </c>
      <c r="R104" s="1">
        <v>1.1</v>
      </c>
    </row>
    <row r="105">
      <c r="M105" s="1"/>
      <c r="N105" s="1" t="s">
        <v>136</v>
      </c>
      <c r="O105" s="1">
        <v>850.0</v>
      </c>
      <c r="P105" s="1"/>
      <c r="Q105" s="2">
        <f t="shared" si="15"/>
        <v>0.011</v>
      </c>
      <c r="R105" s="1">
        <v>1.1</v>
      </c>
    </row>
    <row r="106">
      <c r="M106" s="1"/>
      <c r="N106" s="1" t="s">
        <v>137</v>
      </c>
      <c r="O106" s="1">
        <v>800.0</v>
      </c>
      <c r="P106" s="1"/>
      <c r="Q106" s="2">
        <f t="shared" si="15"/>
        <v>0.011</v>
      </c>
      <c r="R106" s="1">
        <v>1.1</v>
      </c>
    </row>
    <row r="107">
      <c r="M107" s="1"/>
      <c r="N107" s="1" t="s">
        <v>138</v>
      </c>
      <c r="O107" s="1">
        <v>650.0</v>
      </c>
      <c r="P107" s="1"/>
      <c r="Q107" s="2">
        <f t="shared" si="15"/>
        <v>0.011</v>
      </c>
      <c r="R107" s="1">
        <v>1.1</v>
      </c>
    </row>
    <row r="108">
      <c r="M108" s="1"/>
      <c r="N108" s="1" t="s">
        <v>139</v>
      </c>
      <c r="O108" s="1">
        <v>795.0</v>
      </c>
      <c r="P108" s="1"/>
      <c r="Q108" s="2">
        <f t="shared" si="15"/>
        <v>0.011</v>
      </c>
      <c r="R108" s="1">
        <v>1.1</v>
      </c>
    </row>
    <row r="109">
      <c r="M109" s="1"/>
      <c r="N109" s="1" t="s">
        <v>140</v>
      </c>
      <c r="O109" s="1">
        <v>899.0</v>
      </c>
      <c r="P109" s="1"/>
      <c r="Q109" s="2">
        <f t="shared" si="15"/>
        <v>0.011</v>
      </c>
      <c r="R109" s="1">
        <v>1.1</v>
      </c>
    </row>
    <row r="110">
      <c r="M110" s="1"/>
      <c r="N110" s="1" t="s">
        <v>141</v>
      </c>
      <c r="O110" s="1">
        <v>998.0</v>
      </c>
      <c r="P110" s="1"/>
      <c r="Q110" s="2">
        <f t="shared" si="15"/>
        <v>0.011</v>
      </c>
      <c r="R110" s="1">
        <v>1.1</v>
      </c>
    </row>
    <row r="111">
      <c r="M111" s="1"/>
      <c r="N111" s="1" t="s">
        <v>142</v>
      </c>
      <c r="O111" s="1">
        <v>3495.0</v>
      </c>
      <c r="P111" s="1"/>
      <c r="Q111" s="2">
        <f t="shared" si="15"/>
        <v>0.012</v>
      </c>
      <c r="R111" s="1">
        <v>1.2</v>
      </c>
    </row>
    <row r="112">
      <c r="M112" s="1"/>
      <c r="N112" s="1" t="s">
        <v>143</v>
      </c>
      <c r="O112" s="1">
        <v>1949.0</v>
      </c>
      <c r="P112" s="1"/>
      <c r="Q112" s="2">
        <f t="shared" si="15"/>
        <v>0.011</v>
      </c>
      <c r="R112" s="1">
        <v>1.1</v>
      </c>
    </row>
    <row r="113">
      <c r="M113" s="1"/>
      <c r="N113" s="1" t="s">
        <v>144</v>
      </c>
      <c r="O113" s="1">
        <v>999.0</v>
      </c>
      <c r="P113" s="1"/>
      <c r="Q113" s="2">
        <f t="shared" si="15"/>
        <v>0.012</v>
      </c>
      <c r="R113" s="1">
        <v>1.2</v>
      </c>
    </row>
    <row r="114">
      <c r="M114" s="1"/>
      <c r="N114" s="1" t="s">
        <v>145</v>
      </c>
      <c r="O114" s="1">
        <v>7499.0</v>
      </c>
      <c r="P114" s="1"/>
      <c r="Q114" s="2">
        <f t="shared" si="15"/>
        <v>0.011</v>
      </c>
      <c r="R114" s="1">
        <v>1.1</v>
      </c>
    </row>
    <row r="115">
      <c r="M115" s="1"/>
      <c r="N115" s="1" t="s">
        <v>146</v>
      </c>
      <c r="O115" s="1">
        <v>1899.0</v>
      </c>
      <c r="P115" s="1"/>
      <c r="Q115" s="2">
        <f t="shared" si="15"/>
        <v>0.012</v>
      </c>
      <c r="R115" s="1">
        <v>1.2</v>
      </c>
    </row>
    <row r="116">
      <c r="M116" s="1"/>
      <c r="N116" s="1" t="s">
        <v>147</v>
      </c>
      <c r="O116" s="1">
        <v>3000.0</v>
      </c>
      <c r="P116" s="1"/>
      <c r="Q116" s="2">
        <f t="shared" si="15"/>
        <v>0.011</v>
      </c>
      <c r="R116" s="1">
        <v>1.1</v>
      </c>
    </row>
    <row r="117">
      <c r="M117" s="1"/>
      <c r="N117" s="1" t="s">
        <v>148</v>
      </c>
      <c r="O117" s="1">
        <v>10000.0</v>
      </c>
      <c r="P117" s="1"/>
      <c r="Q117" s="2">
        <f t="shared" si="15"/>
        <v>0.012</v>
      </c>
      <c r="R117" s="1">
        <v>1.2</v>
      </c>
    </row>
    <row r="118">
      <c r="M118" s="1"/>
      <c r="N118" s="1" t="s">
        <v>149</v>
      </c>
      <c r="O118" s="1">
        <v>12500.0</v>
      </c>
      <c r="P118" s="1"/>
      <c r="Q118" s="2">
        <f t="shared" si="15"/>
        <v>0.011</v>
      </c>
      <c r="R118" s="1">
        <v>1.1</v>
      </c>
    </row>
    <row r="119">
      <c r="M119" s="1"/>
      <c r="N119" s="1" t="s">
        <v>150</v>
      </c>
      <c r="O119" s="1">
        <v>580000.0</v>
      </c>
      <c r="P119" s="1"/>
      <c r="Q119" s="2">
        <f t="shared" si="15"/>
        <v>0.012</v>
      </c>
      <c r="R119" s="1">
        <v>1.2</v>
      </c>
    </row>
    <row r="120">
      <c r="M120" s="1"/>
      <c r="N120" s="1" t="s">
        <v>151</v>
      </c>
      <c r="O120" s="1">
        <v>504999.0</v>
      </c>
      <c r="P120" s="1"/>
      <c r="Q120" s="2">
        <f t="shared" si="15"/>
        <v>0.012</v>
      </c>
      <c r="R120" s="1">
        <v>1.2</v>
      </c>
    </row>
    <row r="121">
      <c r="M121" s="1"/>
      <c r="N121" s="1" t="s">
        <v>152</v>
      </c>
      <c r="O121" s="1">
        <v>220000.0</v>
      </c>
      <c r="P121" s="1"/>
      <c r="Q121" s="2">
        <f t="shared" si="15"/>
        <v>0.012</v>
      </c>
      <c r="R121" s="1">
        <v>1.2</v>
      </c>
    </row>
    <row r="122">
      <c r="M122" s="1"/>
      <c r="N122" s="1" t="s">
        <v>153</v>
      </c>
      <c r="O122" s="1">
        <v>1400.0</v>
      </c>
      <c r="P122" s="1"/>
      <c r="Q122" s="2">
        <f t="shared" ref="Q122:Q123" si="16">0.1*0.12</f>
        <v>0.012</v>
      </c>
    </row>
    <row r="123">
      <c r="M123" s="1"/>
      <c r="N123" s="1" t="s">
        <v>154</v>
      </c>
      <c r="O123" s="1">
        <v>1997.0</v>
      </c>
      <c r="P123" s="1"/>
      <c r="Q123" s="2">
        <f t="shared" si="16"/>
        <v>0.012</v>
      </c>
    </row>
    <row r="124">
      <c r="M124" s="1"/>
      <c r="N124" s="1" t="s">
        <v>155</v>
      </c>
      <c r="O124" s="1">
        <v>0.0</v>
      </c>
      <c r="P124" s="1"/>
      <c r="Q124" s="2">
        <f t="shared" ref="Q124:Q125" si="17">0.1*0.38</f>
        <v>0.038</v>
      </c>
    </row>
    <row r="125">
      <c r="M125" s="1"/>
      <c r="N125" s="1" t="s">
        <v>156</v>
      </c>
      <c r="O125" s="1">
        <v>0.0</v>
      </c>
      <c r="P125" s="1"/>
      <c r="Q125" s="2">
        <f t="shared" si="17"/>
        <v>0.038</v>
      </c>
    </row>
    <row r="126">
      <c r="M126" s="1"/>
      <c r="N126" s="1" t="s">
        <v>157</v>
      </c>
      <c r="O126" s="1">
        <v>4348.0</v>
      </c>
      <c r="P126" s="1"/>
      <c r="Q126" s="2">
        <f t="shared" ref="Q126:Q141" si="18">R126/100</f>
        <v>0.0075</v>
      </c>
      <c r="R126" s="1">
        <v>0.75</v>
      </c>
    </row>
    <row r="127">
      <c r="M127" s="1"/>
      <c r="N127" s="1" t="s">
        <v>158</v>
      </c>
      <c r="O127" s="1">
        <v>7800.0</v>
      </c>
      <c r="P127" s="1"/>
      <c r="Q127" s="2">
        <f t="shared" si="18"/>
        <v>0.007</v>
      </c>
      <c r="R127" s="1">
        <v>0.7</v>
      </c>
    </row>
    <row r="128">
      <c r="M128" s="1"/>
      <c r="N128" s="1" t="s">
        <v>159</v>
      </c>
      <c r="O128" s="1">
        <v>17890.0</v>
      </c>
      <c r="P128" s="1"/>
      <c r="Q128" s="2">
        <f t="shared" si="18"/>
        <v>0.0075</v>
      </c>
      <c r="R128" s="1">
        <v>0.75</v>
      </c>
    </row>
    <row r="129">
      <c r="M129" s="1"/>
      <c r="N129" s="1" t="s">
        <v>160</v>
      </c>
      <c r="O129" s="1">
        <v>1998.0</v>
      </c>
      <c r="P129" s="1"/>
      <c r="Q129" s="2">
        <f t="shared" si="18"/>
        <v>0.0075</v>
      </c>
      <c r="R129" s="1">
        <v>0.75</v>
      </c>
    </row>
    <row r="130">
      <c r="M130" s="1"/>
      <c r="N130" s="1" t="s">
        <v>161</v>
      </c>
      <c r="O130" s="1">
        <v>4999.0</v>
      </c>
      <c r="P130" s="1"/>
      <c r="Q130" s="2">
        <f t="shared" si="18"/>
        <v>0.01</v>
      </c>
      <c r="R130" s="1">
        <v>1.0</v>
      </c>
    </row>
    <row r="131">
      <c r="M131" s="1"/>
      <c r="N131" s="1" t="s">
        <v>162</v>
      </c>
      <c r="O131" s="1">
        <v>14500.0</v>
      </c>
      <c r="P131" s="1"/>
      <c r="Q131" s="2">
        <f t="shared" si="18"/>
        <v>0.0075</v>
      </c>
      <c r="R131" s="1">
        <v>0.75</v>
      </c>
    </row>
    <row r="132">
      <c r="M132" s="1"/>
      <c r="N132" s="1" t="s">
        <v>163</v>
      </c>
      <c r="O132" s="1">
        <v>4799.0</v>
      </c>
      <c r="P132" s="1"/>
      <c r="Q132" s="2">
        <f t="shared" si="18"/>
        <v>0.01</v>
      </c>
      <c r="R132" s="1">
        <v>1.0</v>
      </c>
    </row>
    <row r="133">
      <c r="M133" s="1"/>
      <c r="N133" s="1" t="s">
        <v>164</v>
      </c>
      <c r="O133" s="1">
        <v>2900.0</v>
      </c>
      <c r="P133" s="1"/>
      <c r="Q133" s="2">
        <f t="shared" si="18"/>
        <v>0.0075</v>
      </c>
      <c r="R133" s="1">
        <v>0.75</v>
      </c>
    </row>
    <row r="134">
      <c r="M134" s="1"/>
      <c r="N134" s="1" t="s">
        <v>165</v>
      </c>
      <c r="O134" s="1">
        <v>12998.0</v>
      </c>
      <c r="P134" s="1"/>
      <c r="Q134" s="2">
        <f t="shared" si="18"/>
        <v>0.01</v>
      </c>
      <c r="R134" s="1">
        <v>1.0</v>
      </c>
    </row>
    <row r="135">
      <c r="M135" s="1"/>
      <c r="N135" s="1" t="s">
        <v>166</v>
      </c>
      <c r="O135" s="1">
        <v>7000.0</v>
      </c>
      <c r="P135" s="1"/>
      <c r="Q135" s="2">
        <f t="shared" si="18"/>
        <v>0.0075</v>
      </c>
      <c r="R135" s="1">
        <v>0.75</v>
      </c>
    </row>
    <row r="136">
      <c r="M136" s="1"/>
      <c r="N136" s="1" t="s">
        <v>167</v>
      </c>
      <c r="O136" s="1">
        <v>2000.0</v>
      </c>
      <c r="P136" s="1"/>
      <c r="Q136" s="2">
        <f t="shared" si="18"/>
        <v>0.01</v>
      </c>
      <c r="R136" s="1">
        <v>1.0</v>
      </c>
    </row>
    <row r="137">
      <c r="M137" s="1"/>
      <c r="N137" s="1" t="s">
        <v>168</v>
      </c>
      <c r="O137" s="1">
        <v>4000.0</v>
      </c>
      <c r="P137" s="1"/>
      <c r="Q137" s="2">
        <f t="shared" si="18"/>
        <v>0.0075</v>
      </c>
      <c r="R137" s="1">
        <v>0.75</v>
      </c>
    </row>
    <row r="138">
      <c r="M138" s="1"/>
      <c r="N138" s="1" t="s">
        <v>169</v>
      </c>
      <c r="O138" s="1">
        <v>4500.0</v>
      </c>
      <c r="P138" s="1"/>
      <c r="Q138" s="2">
        <f t="shared" si="18"/>
        <v>0.01</v>
      </c>
      <c r="R138" s="1">
        <v>1.0</v>
      </c>
    </row>
    <row r="139">
      <c r="M139" s="1"/>
      <c r="N139" s="1" t="s">
        <v>170</v>
      </c>
      <c r="O139" s="1">
        <v>3899.0</v>
      </c>
      <c r="P139" s="1"/>
      <c r="Q139" s="2">
        <f t="shared" si="18"/>
        <v>0.0075</v>
      </c>
      <c r="R139" s="1">
        <v>0.75</v>
      </c>
    </row>
    <row r="140">
      <c r="M140" s="1"/>
      <c r="N140" s="1" t="s">
        <v>171</v>
      </c>
      <c r="O140" s="1">
        <v>17000.0</v>
      </c>
      <c r="P140" s="1"/>
      <c r="Q140" s="2">
        <f t="shared" si="18"/>
        <v>0.01</v>
      </c>
      <c r="R140" s="1">
        <v>1.0</v>
      </c>
    </row>
    <row r="141">
      <c r="M141" s="1"/>
      <c r="N141" s="1" t="s">
        <v>172</v>
      </c>
      <c r="O141" s="1">
        <v>17000.0</v>
      </c>
      <c r="P141" s="1"/>
      <c r="Q141" s="2">
        <f t="shared" si="18"/>
        <v>0.007</v>
      </c>
      <c r="R141" s="1">
        <v>0.7</v>
      </c>
    </row>
    <row r="142">
      <c r="M142" s="1"/>
      <c r="N142" s="1" t="s">
        <v>173</v>
      </c>
      <c r="O142" s="1">
        <v>205000.0</v>
      </c>
      <c r="P142" s="1"/>
      <c r="Q142" s="2">
        <f t="shared" ref="Q142:Q143" si="19">0.05*0.12</f>
        <v>0.006</v>
      </c>
    </row>
    <row r="143">
      <c r="M143" s="1"/>
      <c r="N143" s="1" t="s">
        <v>174</v>
      </c>
      <c r="O143" s="1">
        <v>413000.0</v>
      </c>
      <c r="P143" s="1"/>
      <c r="Q143" s="2">
        <f t="shared" si="19"/>
        <v>0.006</v>
      </c>
    </row>
    <row r="144">
      <c r="M144" s="1"/>
      <c r="N144" s="1" t="s">
        <v>175</v>
      </c>
      <c r="O144" s="1">
        <v>0.0</v>
      </c>
      <c r="P144" s="1"/>
      <c r="Q144" s="2">
        <f t="shared" ref="Q144:Q145" si="20">0.05*0.38</f>
        <v>0.019</v>
      </c>
    </row>
    <row r="145">
      <c r="M145" s="1"/>
      <c r="N145" s="1" t="s">
        <v>176</v>
      </c>
      <c r="O145" s="1">
        <v>0.0</v>
      </c>
      <c r="P145" s="1"/>
      <c r="Q145" s="2">
        <f t="shared" si="20"/>
        <v>0.019</v>
      </c>
    </row>
    <row r="146">
      <c r="M146" s="1"/>
      <c r="N146" s="1" t="s">
        <v>177</v>
      </c>
      <c r="O146" s="1">
        <v>12800.0</v>
      </c>
      <c r="P146" s="1"/>
      <c r="Q146" s="2">
        <f t="shared" ref="Q146:Q161" si="21">R146/100</f>
        <v>0.006</v>
      </c>
      <c r="R146" s="1">
        <v>0.6</v>
      </c>
    </row>
    <row r="147">
      <c r="M147" s="1"/>
      <c r="N147" s="1" t="s">
        <v>178</v>
      </c>
      <c r="O147" s="1">
        <v>4999.0</v>
      </c>
      <c r="P147" s="1"/>
      <c r="Q147" s="2">
        <f t="shared" si="21"/>
        <v>0.007</v>
      </c>
      <c r="R147" s="1">
        <v>0.7</v>
      </c>
    </row>
    <row r="148">
      <c r="M148" s="1"/>
      <c r="N148" s="1" t="s">
        <v>179</v>
      </c>
      <c r="O148" s="1">
        <v>19500.0</v>
      </c>
      <c r="P148" s="1"/>
      <c r="Q148" s="2">
        <f t="shared" si="21"/>
        <v>0.006</v>
      </c>
      <c r="R148" s="1">
        <v>0.6</v>
      </c>
    </row>
    <row r="149">
      <c r="M149" s="1"/>
      <c r="N149" s="1" t="s">
        <v>180</v>
      </c>
      <c r="O149" s="1">
        <v>2400.0</v>
      </c>
      <c r="P149" s="1"/>
      <c r="Q149" s="2">
        <f t="shared" si="21"/>
        <v>0.007</v>
      </c>
      <c r="R149" s="1">
        <v>0.7</v>
      </c>
    </row>
    <row r="150">
      <c r="M150" s="1"/>
      <c r="N150" s="1" t="s">
        <v>181</v>
      </c>
      <c r="O150" s="1">
        <v>15000.0</v>
      </c>
      <c r="P150" s="1"/>
      <c r="Q150" s="2">
        <f t="shared" si="21"/>
        <v>0.006</v>
      </c>
      <c r="R150" s="1">
        <v>0.6</v>
      </c>
    </row>
    <row r="151">
      <c r="M151" s="1"/>
      <c r="N151" s="1" t="s">
        <v>182</v>
      </c>
      <c r="O151" s="1">
        <v>4000.0</v>
      </c>
      <c r="P151" s="1"/>
      <c r="Q151" s="2">
        <f t="shared" si="21"/>
        <v>0.007</v>
      </c>
      <c r="R151" s="1">
        <v>0.7</v>
      </c>
    </row>
    <row r="152">
      <c r="M152" s="1"/>
      <c r="N152" s="1" t="s">
        <v>183</v>
      </c>
      <c r="O152" s="1">
        <v>18499.0</v>
      </c>
      <c r="P152" s="1"/>
      <c r="Q152" s="2">
        <f t="shared" si="21"/>
        <v>0.006</v>
      </c>
      <c r="R152" s="1">
        <v>0.6</v>
      </c>
    </row>
    <row r="153">
      <c r="M153" s="1"/>
      <c r="N153" s="1" t="s">
        <v>184</v>
      </c>
      <c r="O153" s="1">
        <v>4999.0</v>
      </c>
      <c r="P153" s="1"/>
      <c r="Q153" s="2">
        <f t="shared" si="21"/>
        <v>0.007</v>
      </c>
      <c r="R153" s="1">
        <v>0.7</v>
      </c>
    </row>
    <row r="154">
      <c r="M154" s="1"/>
      <c r="N154" s="1" t="s">
        <v>185</v>
      </c>
      <c r="O154" s="1">
        <v>8500.0</v>
      </c>
      <c r="P154" s="1"/>
      <c r="Q154" s="2">
        <f t="shared" si="21"/>
        <v>0.006</v>
      </c>
      <c r="R154" s="1">
        <v>0.6</v>
      </c>
    </row>
    <row r="155">
      <c r="M155" s="1"/>
      <c r="N155" s="1" t="s">
        <v>186</v>
      </c>
      <c r="O155" s="1">
        <v>19500.0</v>
      </c>
      <c r="P155" s="1"/>
      <c r="Q155" s="2">
        <f t="shared" si="21"/>
        <v>0.007</v>
      </c>
      <c r="R155" s="1">
        <v>0.7</v>
      </c>
    </row>
    <row r="156">
      <c r="M156" s="1"/>
      <c r="N156" s="1" t="s">
        <v>187</v>
      </c>
      <c r="O156" s="1">
        <v>24000.0</v>
      </c>
      <c r="P156" s="1"/>
      <c r="Q156" s="2">
        <f t="shared" si="21"/>
        <v>0.006</v>
      </c>
      <c r="R156" s="1">
        <v>0.6</v>
      </c>
    </row>
    <row r="157">
      <c r="M157" s="1"/>
      <c r="N157" s="1" t="s">
        <v>188</v>
      </c>
      <c r="O157" s="1">
        <v>15000.0</v>
      </c>
      <c r="P157" s="1"/>
      <c r="Q157" s="2">
        <f t="shared" si="21"/>
        <v>0.007</v>
      </c>
      <c r="R157" s="1">
        <v>0.7</v>
      </c>
    </row>
    <row r="158">
      <c r="M158" s="1"/>
      <c r="N158" s="1" t="s">
        <v>189</v>
      </c>
      <c r="O158" s="1">
        <v>19450.0</v>
      </c>
      <c r="P158" s="1"/>
      <c r="Q158" s="2">
        <f t="shared" si="21"/>
        <v>0.006</v>
      </c>
      <c r="R158" s="1">
        <v>0.6</v>
      </c>
    </row>
    <row r="159">
      <c r="M159" s="1"/>
      <c r="N159" s="1" t="s">
        <v>190</v>
      </c>
      <c r="O159" s="1">
        <v>14999.0</v>
      </c>
      <c r="P159" s="1"/>
      <c r="Q159" s="2">
        <f t="shared" si="21"/>
        <v>0.007</v>
      </c>
      <c r="R159" s="1">
        <v>0.7</v>
      </c>
    </row>
    <row r="160">
      <c r="M160" s="1"/>
      <c r="N160" s="1" t="s">
        <v>191</v>
      </c>
      <c r="O160" s="1">
        <v>14999.0</v>
      </c>
      <c r="P160" s="1"/>
      <c r="Q160" s="2">
        <f t="shared" si="21"/>
        <v>0.006</v>
      </c>
      <c r="R160" s="1">
        <v>0.6</v>
      </c>
    </row>
    <row r="161">
      <c r="M161" s="1"/>
      <c r="N161" s="1" t="s">
        <v>192</v>
      </c>
      <c r="O161" s="1">
        <v>10996.0</v>
      </c>
      <c r="P161" s="1"/>
      <c r="Q161" s="2">
        <f t="shared" si="21"/>
        <v>0.007</v>
      </c>
      <c r="R161" s="1">
        <v>0.7</v>
      </c>
    </row>
    <row r="162">
      <c r="M162" s="1"/>
      <c r="N162" s="1" t="s">
        <v>193</v>
      </c>
      <c r="O162" s="1">
        <v>1000000.0</v>
      </c>
      <c r="P162" s="1"/>
      <c r="Q162" s="2">
        <f t="shared" ref="Q162:Q163" si="22">0.035*0.12</f>
        <v>0.0042</v>
      </c>
    </row>
    <row r="163">
      <c r="M163" s="1"/>
      <c r="N163" s="1" t="s">
        <v>194</v>
      </c>
      <c r="O163" s="1">
        <v>465000.0</v>
      </c>
      <c r="P163" s="1"/>
      <c r="Q163" s="2">
        <f t="shared" si="22"/>
        <v>0.0042</v>
      </c>
    </row>
    <row r="164">
      <c r="M164" s="1"/>
      <c r="N164" s="1" t="s">
        <v>195</v>
      </c>
      <c r="O164" s="1">
        <v>0.0</v>
      </c>
      <c r="P164" s="1"/>
      <c r="Q164" s="2">
        <f t="shared" ref="Q164:Q165" si="23">0.035*0.38</f>
        <v>0.0133</v>
      </c>
    </row>
    <row r="165">
      <c r="M165" s="1"/>
      <c r="N165" s="1" t="s">
        <v>196</v>
      </c>
      <c r="O165" s="1">
        <v>0.0</v>
      </c>
      <c r="P165" s="1"/>
      <c r="Q165" s="2">
        <f t="shared" si="23"/>
        <v>0.0133</v>
      </c>
    </row>
    <row r="166">
      <c r="M166" s="1"/>
      <c r="N166" s="1" t="s">
        <v>197</v>
      </c>
      <c r="O166" s="1">
        <v>38000.0</v>
      </c>
      <c r="P166" s="1"/>
      <c r="Q166" s="2">
        <f t="shared" ref="Q166:Q181" si="24">R166/100</f>
        <v>0.0055</v>
      </c>
      <c r="R166" s="2">
        <f>0.55</f>
        <v>0.55</v>
      </c>
    </row>
    <row r="167">
      <c r="M167" s="1"/>
      <c r="N167" s="1" t="s">
        <v>198</v>
      </c>
      <c r="O167" s="1">
        <v>38700.0</v>
      </c>
      <c r="P167" s="1"/>
      <c r="Q167" s="2">
        <f t="shared" si="24"/>
        <v>0.0045</v>
      </c>
      <c r="R167" s="1">
        <v>0.45</v>
      </c>
    </row>
    <row r="168">
      <c r="M168" s="1"/>
      <c r="N168" s="1" t="s">
        <v>199</v>
      </c>
      <c r="O168" s="1">
        <v>2999.0</v>
      </c>
      <c r="P168" s="1"/>
      <c r="Q168" s="2">
        <f t="shared" si="24"/>
        <v>0.0055</v>
      </c>
      <c r="R168" s="2">
        <f>0.55</f>
        <v>0.55</v>
      </c>
    </row>
    <row r="169">
      <c r="M169" s="1"/>
      <c r="N169" s="1" t="s">
        <v>200</v>
      </c>
      <c r="O169" s="1">
        <v>4400.0</v>
      </c>
      <c r="P169" s="1"/>
      <c r="Q169" s="2">
        <f t="shared" si="24"/>
        <v>0.0045</v>
      </c>
      <c r="R169" s="1">
        <v>0.45</v>
      </c>
    </row>
    <row r="170">
      <c r="M170" s="1"/>
      <c r="N170" s="1" t="s">
        <v>201</v>
      </c>
      <c r="O170" s="1">
        <v>25000.0</v>
      </c>
      <c r="P170" s="1"/>
      <c r="Q170" s="2">
        <f t="shared" si="24"/>
        <v>0.0055</v>
      </c>
      <c r="R170" s="2">
        <f>0.55</f>
        <v>0.55</v>
      </c>
    </row>
    <row r="171">
      <c r="M171" s="1"/>
      <c r="N171" s="1" t="s">
        <v>202</v>
      </c>
      <c r="O171" s="1">
        <v>70000.0</v>
      </c>
      <c r="P171" s="1"/>
      <c r="Q171" s="2">
        <f t="shared" si="24"/>
        <v>0.0045</v>
      </c>
      <c r="R171" s="1">
        <v>0.45</v>
      </c>
    </row>
    <row r="172">
      <c r="M172" s="1"/>
      <c r="N172" s="1" t="s">
        <v>203</v>
      </c>
      <c r="O172" s="1">
        <v>38000.0</v>
      </c>
      <c r="P172" s="1"/>
      <c r="Q172" s="2">
        <f t="shared" si="24"/>
        <v>0.0055</v>
      </c>
      <c r="R172" s="2">
        <f>0.55</f>
        <v>0.55</v>
      </c>
    </row>
    <row r="173">
      <c r="M173" s="1"/>
      <c r="N173" s="1" t="s">
        <v>204</v>
      </c>
      <c r="O173" s="1">
        <v>40000.0</v>
      </c>
      <c r="P173" s="1"/>
      <c r="Q173" s="2">
        <f t="shared" si="24"/>
        <v>0.0045</v>
      </c>
      <c r="R173" s="1">
        <v>0.45</v>
      </c>
    </row>
    <row r="174">
      <c r="M174" s="1"/>
      <c r="N174" s="1" t="s">
        <v>205</v>
      </c>
      <c r="O174" s="1">
        <v>28000.0</v>
      </c>
      <c r="P174" s="1"/>
      <c r="Q174" s="2">
        <f t="shared" si="24"/>
        <v>0.0055</v>
      </c>
      <c r="R174" s="2">
        <f>0.55</f>
        <v>0.55</v>
      </c>
    </row>
    <row r="175">
      <c r="M175" s="1"/>
      <c r="N175" s="1" t="s">
        <v>206</v>
      </c>
      <c r="O175" s="1">
        <v>55000.0</v>
      </c>
      <c r="P175" s="1"/>
      <c r="Q175" s="2">
        <f t="shared" si="24"/>
        <v>0.0045</v>
      </c>
      <c r="R175" s="1">
        <v>0.45</v>
      </c>
    </row>
    <row r="176">
      <c r="M176" s="1"/>
      <c r="N176" s="1" t="s">
        <v>207</v>
      </c>
      <c r="O176" s="1">
        <v>118000.0</v>
      </c>
      <c r="P176" s="1"/>
      <c r="Q176" s="2">
        <f t="shared" si="24"/>
        <v>0.0055</v>
      </c>
      <c r="R176" s="2">
        <f>0.55</f>
        <v>0.55</v>
      </c>
    </row>
    <row r="177">
      <c r="M177" s="1"/>
      <c r="N177" s="1" t="s">
        <v>208</v>
      </c>
      <c r="O177" s="1">
        <v>175000.0</v>
      </c>
      <c r="P177" s="1"/>
      <c r="Q177" s="2">
        <f t="shared" si="24"/>
        <v>0.0045</v>
      </c>
      <c r="R177" s="1">
        <v>0.45</v>
      </c>
    </row>
    <row r="178">
      <c r="M178" s="1"/>
      <c r="N178" s="1" t="s">
        <v>209</v>
      </c>
      <c r="O178" s="1">
        <v>55000.0</v>
      </c>
      <c r="P178" s="1"/>
      <c r="Q178" s="2">
        <f t="shared" si="24"/>
        <v>0.0055</v>
      </c>
      <c r="R178" s="2">
        <f t="shared" ref="R178:R181" si="25">0.55</f>
        <v>0.55</v>
      </c>
    </row>
    <row r="179">
      <c r="M179" s="1"/>
      <c r="N179" s="1" t="s">
        <v>210</v>
      </c>
      <c r="O179" s="1">
        <v>44000.0</v>
      </c>
      <c r="P179" s="1"/>
      <c r="Q179" s="2">
        <f t="shared" si="24"/>
        <v>0.0055</v>
      </c>
      <c r="R179" s="2">
        <f t="shared" si="25"/>
        <v>0.55</v>
      </c>
    </row>
    <row r="180">
      <c r="M180" s="1"/>
      <c r="N180" s="1" t="s">
        <v>211</v>
      </c>
      <c r="O180" s="1">
        <v>15000.0</v>
      </c>
      <c r="P180" s="1"/>
      <c r="Q180" s="2">
        <f t="shared" si="24"/>
        <v>0.0055</v>
      </c>
      <c r="R180" s="2">
        <f t="shared" si="25"/>
        <v>0.55</v>
      </c>
    </row>
    <row r="181">
      <c r="M181" s="1"/>
      <c r="N181" s="1" t="s">
        <v>212</v>
      </c>
      <c r="O181" s="1">
        <v>20000.0</v>
      </c>
      <c r="P181" s="1"/>
      <c r="Q181" s="2">
        <f t="shared" si="24"/>
        <v>0.0055</v>
      </c>
      <c r="R181" s="2">
        <f t="shared" si="25"/>
        <v>0.55</v>
      </c>
    </row>
    <row r="182">
      <c r="M182" s="1"/>
      <c r="N182" s="1" t="s">
        <v>213</v>
      </c>
      <c r="O182" s="1">
        <v>1300000.0</v>
      </c>
      <c r="P182" s="1"/>
      <c r="Q182" s="2">
        <f>0.015*0.14</f>
        <v>0.0021</v>
      </c>
    </row>
    <row r="183">
      <c r="M183" s="1"/>
      <c r="N183" s="1" t="s">
        <v>214</v>
      </c>
      <c r="O183" s="1">
        <v>1000000.0</v>
      </c>
      <c r="P183" s="1"/>
      <c r="Q183" s="2">
        <f>0.015*0.07</f>
        <v>0.00105</v>
      </c>
    </row>
    <row r="184">
      <c r="M184" s="1"/>
      <c r="N184" s="1" t="s">
        <v>215</v>
      </c>
      <c r="O184" s="1">
        <v>0.0</v>
      </c>
      <c r="P184" s="1"/>
      <c r="Q184" s="2">
        <f>0.015*0.43</f>
        <v>0.00645</v>
      </c>
    </row>
    <row r="185">
      <c r="M185" s="3"/>
      <c r="N185" s="3" t="s">
        <v>216</v>
      </c>
      <c r="O185" s="1">
        <v>0.0</v>
      </c>
      <c r="P185" s="1"/>
      <c r="Q185" s="2">
        <f>0.015*0.36</f>
        <v>0.0054</v>
      </c>
    </row>
    <row r="186">
      <c r="M186" s="1"/>
      <c r="N186" s="1" t="s">
        <v>217</v>
      </c>
      <c r="O186" s="1">
        <v>27999.0</v>
      </c>
      <c r="P186" s="1"/>
      <c r="Q186" s="2">
        <f t="shared" ref="Q186:Q205" si="26">R186/100</f>
        <v>0.0045</v>
      </c>
      <c r="R186" s="1">
        <v>0.45</v>
      </c>
    </row>
    <row r="187">
      <c r="M187" s="1"/>
      <c r="N187" s="1" t="s">
        <v>218</v>
      </c>
      <c r="O187" s="1">
        <v>399999.0</v>
      </c>
      <c r="P187" s="1"/>
      <c r="Q187" s="2">
        <f t="shared" si="26"/>
        <v>0.0017</v>
      </c>
      <c r="R187" s="1">
        <v>0.17</v>
      </c>
    </row>
    <row r="188">
      <c r="M188" s="1"/>
      <c r="N188" s="1" t="s">
        <v>219</v>
      </c>
      <c r="O188" s="1">
        <v>1800.0</v>
      </c>
      <c r="P188" s="1"/>
      <c r="Q188" s="2">
        <f t="shared" si="26"/>
        <v>0.0045</v>
      </c>
      <c r="R188" s="1">
        <v>0.45</v>
      </c>
    </row>
    <row r="189">
      <c r="M189" s="1"/>
      <c r="N189" s="1" t="s">
        <v>220</v>
      </c>
      <c r="O189" s="1">
        <v>95000.0</v>
      </c>
      <c r="P189" s="1"/>
      <c r="Q189" s="2">
        <f t="shared" si="26"/>
        <v>0.0017</v>
      </c>
      <c r="R189" s="1">
        <v>0.17</v>
      </c>
    </row>
    <row r="190">
      <c r="M190" s="1"/>
      <c r="N190" s="1" t="s">
        <v>221</v>
      </c>
      <c r="O190" s="1">
        <v>68000.0</v>
      </c>
      <c r="P190" s="1"/>
      <c r="Q190" s="2">
        <f t="shared" si="26"/>
        <v>0.0045</v>
      </c>
      <c r="R190" s="1">
        <v>0.45</v>
      </c>
    </row>
    <row r="191">
      <c r="M191" s="1"/>
      <c r="N191" s="1" t="s">
        <v>222</v>
      </c>
      <c r="O191" s="1">
        <v>730000.0</v>
      </c>
      <c r="P191" s="1"/>
      <c r="Q191" s="2">
        <f t="shared" si="26"/>
        <v>0.0017</v>
      </c>
      <c r="R191" s="1">
        <v>0.17</v>
      </c>
    </row>
    <row r="192">
      <c r="M192" s="1"/>
      <c r="N192" s="1" t="s">
        <v>223</v>
      </c>
      <c r="O192" s="1">
        <v>66666.0</v>
      </c>
      <c r="P192" s="1"/>
      <c r="Q192" s="2">
        <f t="shared" si="26"/>
        <v>0.0045</v>
      </c>
      <c r="R192" s="1">
        <v>0.45</v>
      </c>
    </row>
    <row r="193">
      <c r="M193" s="1"/>
      <c r="N193" s="1" t="s">
        <v>224</v>
      </c>
      <c r="O193" s="1">
        <v>162999.0</v>
      </c>
      <c r="P193" s="1"/>
      <c r="Q193" s="2">
        <f t="shared" si="26"/>
        <v>0.0017</v>
      </c>
      <c r="R193" s="1">
        <v>0.17</v>
      </c>
    </row>
    <row r="194">
      <c r="M194" s="1"/>
      <c r="N194" s="1" t="s">
        <v>225</v>
      </c>
      <c r="O194" s="1">
        <v>40000.0</v>
      </c>
      <c r="P194" s="1"/>
      <c r="Q194" s="2">
        <f t="shared" si="26"/>
        <v>0.0045</v>
      </c>
      <c r="R194" s="1">
        <v>0.45</v>
      </c>
    </row>
    <row r="195">
      <c r="M195" s="1"/>
      <c r="N195" s="1" t="s">
        <v>226</v>
      </c>
      <c r="O195" s="1">
        <v>280000.0</v>
      </c>
      <c r="P195" s="1"/>
      <c r="Q195" s="2">
        <f t="shared" si="26"/>
        <v>0.0017</v>
      </c>
      <c r="R195" s="1">
        <v>0.17</v>
      </c>
    </row>
    <row r="196">
      <c r="M196" s="1"/>
      <c r="N196" s="1" t="s">
        <v>227</v>
      </c>
      <c r="O196" s="1">
        <v>640000.0</v>
      </c>
      <c r="P196" s="1"/>
      <c r="Q196" s="2">
        <f t="shared" si="26"/>
        <v>0.0017</v>
      </c>
      <c r="R196" s="1">
        <v>0.17</v>
      </c>
    </row>
    <row r="197">
      <c r="M197" s="1"/>
      <c r="N197" s="1" t="s">
        <v>228</v>
      </c>
      <c r="O197" s="1">
        <v>54000.0</v>
      </c>
      <c r="P197" s="1"/>
      <c r="Q197" s="2">
        <f t="shared" si="26"/>
        <v>0.0045</v>
      </c>
      <c r="R197" s="1">
        <v>0.45</v>
      </c>
    </row>
    <row r="198">
      <c r="M198" s="1"/>
      <c r="N198" s="1" t="s">
        <v>229</v>
      </c>
      <c r="O198" s="1">
        <v>190000.0</v>
      </c>
      <c r="P198" s="1"/>
      <c r="Q198" s="2">
        <f t="shared" si="26"/>
        <v>0.0017</v>
      </c>
      <c r="R198" s="1">
        <v>0.17</v>
      </c>
    </row>
    <row r="199">
      <c r="M199" s="1"/>
      <c r="N199" s="1" t="s">
        <v>230</v>
      </c>
      <c r="O199" s="1">
        <v>22900.0</v>
      </c>
      <c r="P199" s="1"/>
      <c r="Q199" s="2">
        <f t="shared" si="26"/>
        <v>0.0045</v>
      </c>
      <c r="R199" s="1">
        <v>0.45</v>
      </c>
    </row>
    <row r="200">
      <c r="M200" s="1"/>
      <c r="N200" s="1" t="s">
        <v>231</v>
      </c>
      <c r="O200" s="1">
        <v>850000.0</v>
      </c>
      <c r="P200" s="1"/>
      <c r="Q200" s="2">
        <f t="shared" si="26"/>
        <v>0.0017</v>
      </c>
      <c r="R200" s="1">
        <v>0.17</v>
      </c>
    </row>
    <row r="201">
      <c r="M201" s="1"/>
      <c r="N201" s="1" t="s">
        <v>232</v>
      </c>
      <c r="O201" s="1">
        <v>10000.0</v>
      </c>
      <c r="P201" s="1"/>
      <c r="Q201" s="2">
        <f t="shared" si="26"/>
        <v>0.0045</v>
      </c>
      <c r="R201" s="1">
        <v>0.45</v>
      </c>
    </row>
    <row r="202">
      <c r="M202" s="1"/>
      <c r="N202" s="1" t="s">
        <v>233</v>
      </c>
      <c r="O202" s="1">
        <v>80000.0</v>
      </c>
      <c r="P202" s="1"/>
      <c r="Q202" s="2">
        <f t="shared" si="26"/>
        <v>0.0017</v>
      </c>
      <c r="R202" s="1">
        <v>0.17</v>
      </c>
    </row>
    <row r="203">
      <c r="M203" s="1"/>
      <c r="N203" s="1" t="s">
        <v>234</v>
      </c>
      <c r="O203" s="1">
        <v>1950000.0</v>
      </c>
      <c r="P203" s="1"/>
      <c r="Q203" s="2">
        <f t="shared" si="26"/>
        <v>0.0045</v>
      </c>
      <c r="R203" s="1">
        <v>0.45</v>
      </c>
    </row>
    <row r="204">
      <c r="M204" s="1"/>
      <c r="N204" s="1" t="s">
        <v>235</v>
      </c>
      <c r="O204" s="1">
        <v>1895000.0</v>
      </c>
      <c r="P204" s="1"/>
      <c r="Q204" s="2">
        <f t="shared" si="26"/>
        <v>0.0045</v>
      </c>
      <c r="R204" s="1">
        <v>0.45</v>
      </c>
    </row>
    <row r="205">
      <c r="M205" s="1"/>
      <c r="N205" s="1" t="s">
        <v>236</v>
      </c>
      <c r="O205" s="1">
        <v>900000.0</v>
      </c>
      <c r="P205" s="1"/>
      <c r="Q205" s="2">
        <f t="shared" si="26"/>
        <v>0.0045</v>
      </c>
      <c r="R205" s="1">
        <v>0.45</v>
      </c>
    </row>
    <row r="206">
      <c r="M206" s="1"/>
      <c r="N206" s="1" t="s">
        <v>237</v>
      </c>
      <c r="O206" s="1">
        <v>2300000.0</v>
      </c>
      <c r="P206" s="1"/>
      <c r="Q206" s="2">
        <f t="shared" ref="Q206:Q207" si="27">0.015*0.07</f>
        <v>0.00105</v>
      </c>
    </row>
    <row r="207">
      <c r="M207" s="1"/>
      <c r="N207" s="1" t="s">
        <v>238</v>
      </c>
      <c r="O207" s="1">
        <v>310000.0</v>
      </c>
      <c r="P207" s="1"/>
      <c r="Q207" s="2">
        <f t="shared" si="27"/>
        <v>0.00105</v>
      </c>
    </row>
    <row r="208">
      <c r="M208" s="3"/>
      <c r="N208" s="3" t="s">
        <v>239</v>
      </c>
      <c r="O208" s="1">
        <v>0.0</v>
      </c>
      <c r="P208" s="1"/>
      <c r="Q208" s="2">
        <f t="shared" ref="Q208:Q209" si="28">0.015*0.43</f>
        <v>0.00645</v>
      </c>
    </row>
    <row r="209">
      <c r="M209" s="3"/>
      <c r="N209" s="3" t="s">
        <v>240</v>
      </c>
      <c r="O209" s="1">
        <v>0.0</v>
      </c>
      <c r="P209" s="1"/>
      <c r="Q209" s="2">
        <f t="shared" si="28"/>
        <v>0.00645</v>
      </c>
    </row>
    <row r="210">
      <c r="M210" s="1"/>
      <c r="N210" s="1" t="s">
        <v>241</v>
      </c>
      <c r="O210" s="1">
        <v>110000.0</v>
      </c>
      <c r="P210" s="1"/>
      <c r="Q210" s="2">
        <f t="shared" ref="Q210:Q228" si="29">R210/100</f>
        <v>0.0045</v>
      </c>
      <c r="R210" s="1">
        <v>0.45</v>
      </c>
    </row>
    <row r="211">
      <c r="M211" s="1"/>
      <c r="N211" s="1" t="s">
        <v>242</v>
      </c>
      <c r="O211" s="1">
        <v>1190000.0</v>
      </c>
      <c r="P211" s="1"/>
      <c r="Q211" s="2">
        <f t="shared" si="29"/>
        <v>0.0015</v>
      </c>
      <c r="R211" s="1">
        <v>0.15</v>
      </c>
    </row>
    <row r="212">
      <c r="M212" s="1"/>
      <c r="N212" s="1" t="s">
        <v>243</v>
      </c>
      <c r="O212" s="1">
        <v>7900.0</v>
      </c>
      <c r="P212" s="1"/>
      <c r="Q212" s="2">
        <f t="shared" si="29"/>
        <v>0.0045</v>
      </c>
      <c r="R212" s="1">
        <v>0.45</v>
      </c>
    </row>
    <row r="213">
      <c r="M213" s="1"/>
      <c r="N213" s="1" t="s">
        <v>244</v>
      </c>
      <c r="O213" s="1">
        <v>100000.0</v>
      </c>
      <c r="P213" s="1"/>
      <c r="Q213" s="2">
        <f t="shared" si="29"/>
        <v>0.0015</v>
      </c>
      <c r="R213" s="1">
        <v>0.15</v>
      </c>
    </row>
    <row r="214">
      <c r="M214" s="1"/>
      <c r="N214" s="1" t="s">
        <v>245</v>
      </c>
      <c r="O214" s="1">
        <v>150000.0</v>
      </c>
      <c r="P214" s="1"/>
      <c r="Q214" s="2">
        <f t="shared" si="29"/>
        <v>0.0045</v>
      </c>
      <c r="R214" s="1">
        <v>0.45</v>
      </c>
    </row>
    <row r="215">
      <c r="M215" s="1"/>
      <c r="N215" s="1" t="s">
        <v>246</v>
      </c>
      <c r="O215" s="1">
        <v>2500000.0</v>
      </c>
      <c r="P215" s="1"/>
      <c r="Q215" s="2">
        <f t="shared" si="29"/>
        <v>0.0015</v>
      </c>
      <c r="R215" s="1">
        <v>0.15</v>
      </c>
    </row>
    <row r="216">
      <c r="M216" s="1"/>
      <c r="N216" s="1" t="s">
        <v>247</v>
      </c>
      <c r="O216" s="1">
        <v>180000.0</v>
      </c>
      <c r="P216" s="1"/>
      <c r="Q216" s="2">
        <f t="shared" si="29"/>
        <v>0.0045</v>
      </c>
      <c r="R216" s="1">
        <v>0.45</v>
      </c>
    </row>
    <row r="217">
      <c r="M217" s="1"/>
      <c r="N217" s="1" t="s">
        <v>248</v>
      </c>
      <c r="O217" s="1">
        <v>300000.0</v>
      </c>
      <c r="P217" s="1"/>
      <c r="Q217" s="2">
        <f t="shared" si="29"/>
        <v>0.0015</v>
      </c>
      <c r="R217" s="1">
        <v>0.15</v>
      </c>
    </row>
    <row r="218">
      <c r="M218" s="1"/>
      <c r="N218" s="1" t="s">
        <v>249</v>
      </c>
      <c r="O218" s="1">
        <v>120000.0</v>
      </c>
      <c r="P218" s="1"/>
      <c r="Q218" s="2">
        <f t="shared" si="29"/>
        <v>0.0045</v>
      </c>
      <c r="R218" s="1">
        <v>0.45</v>
      </c>
    </row>
    <row r="219">
      <c r="M219" s="1"/>
      <c r="N219" s="1" t="s">
        <v>250</v>
      </c>
      <c r="O219" s="1">
        <v>250000.0</v>
      </c>
      <c r="P219" s="1"/>
      <c r="Q219" s="2">
        <f t="shared" si="29"/>
        <v>0.0045</v>
      </c>
      <c r="R219" s="1">
        <v>0.45</v>
      </c>
    </row>
    <row r="220">
      <c r="M220" s="1"/>
      <c r="N220" s="1" t="s">
        <v>251</v>
      </c>
      <c r="O220" s="1">
        <v>515000.0</v>
      </c>
      <c r="P220" s="1"/>
      <c r="Q220" s="2">
        <f t="shared" si="29"/>
        <v>0.0015</v>
      </c>
      <c r="R220" s="1">
        <v>0.15</v>
      </c>
    </row>
    <row r="221">
      <c r="M221" s="1"/>
      <c r="N221" s="1" t="s">
        <v>252</v>
      </c>
      <c r="O221" s="1">
        <v>360000.0</v>
      </c>
      <c r="P221" s="1"/>
      <c r="Q221" s="2">
        <f t="shared" si="29"/>
        <v>0.0045</v>
      </c>
      <c r="R221" s="1">
        <v>0.45</v>
      </c>
    </row>
    <row r="222">
      <c r="M222" s="1"/>
      <c r="N222" s="1" t="s">
        <v>253</v>
      </c>
      <c r="O222" s="1">
        <v>600000.0</v>
      </c>
      <c r="P222" s="1"/>
      <c r="Q222" s="2">
        <f t="shared" si="29"/>
        <v>0.0015</v>
      </c>
      <c r="R222" s="1">
        <v>0.15</v>
      </c>
    </row>
    <row r="223">
      <c r="M223" s="1"/>
      <c r="N223" s="1" t="s">
        <v>254</v>
      </c>
      <c r="O223" s="1">
        <v>100000.0</v>
      </c>
      <c r="P223" s="1"/>
      <c r="Q223" s="2">
        <f t="shared" si="29"/>
        <v>0.0045</v>
      </c>
      <c r="R223" s="1">
        <v>0.45</v>
      </c>
    </row>
    <row r="224">
      <c r="M224" s="1"/>
      <c r="N224" s="1" t="s">
        <v>255</v>
      </c>
      <c r="O224" s="1">
        <v>550000.0</v>
      </c>
      <c r="P224" s="1"/>
      <c r="Q224" s="2">
        <f t="shared" si="29"/>
        <v>0.0015</v>
      </c>
      <c r="R224" s="1">
        <v>0.15</v>
      </c>
    </row>
    <row r="225">
      <c r="M225" s="1"/>
      <c r="N225" s="1" t="s">
        <v>256</v>
      </c>
      <c r="O225" s="1">
        <v>80000.0</v>
      </c>
      <c r="P225" s="1"/>
      <c r="Q225" s="2">
        <f t="shared" si="29"/>
        <v>0.0045</v>
      </c>
      <c r="R225" s="1">
        <v>0.45</v>
      </c>
    </row>
    <row r="226">
      <c r="M226" s="1"/>
      <c r="N226" s="1" t="s">
        <v>257</v>
      </c>
      <c r="O226" s="1">
        <v>1000000.0</v>
      </c>
      <c r="P226" s="1"/>
      <c r="Q226" s="2">
        <f t="shared" si="29"/>
        <v>0.0015</v>
      </c>
      <c r="R226" s="1">
        <v>0.15</v>
      </c>
    </row>
    <row r="227">
      <c r="M227" s="1"/>
      <c r="N227" s="1" t="s">
        <v>258</v>
      </c>
      <c r="O227" s="1">
        <v>14500.0</v>
      </c>
      <c r="P227" s="1"/>
      <c r="Q227" s="2">
        <f t="shared" si="29"/>
        <v>0.0045</v>
      </c>
      <c r="R227" s="1">
        <v>0.45</v>
      </c>
    </row>
    <row r="228">
      <c r="M228" s="1"/>
      <c r="N228" s="1" t="s">
        <v>259</v>
      </c>
      <c r="O228" s="1">
        <v>200000.0</v>
      </c>
      <c r="P228" s="1"/>
      <c r="Q228" s="2">
        <f t="shared" si="29"/>
        <v>0.0015</v>
      </c>
      <c r="R228" s="1">
        <v>0.15</v>
      </c>
    </row>
    <row r="229">
      <c r="M229" s="1"/>
      <c r="N229" s="1" t="s">
        <v>260</v>
      </c>
      <c r="O229" s="1">
        <v>600000.0</v>
      </c>
      <c r="P229" s="1"/>
      <c r="Q229" s="2">
        <f t="shared" ref="Q229:Q230" si="30">0.015*0.07</f>
        <v>0.00105</v>
      </c>
    </row>
    <row r="230">
      <c r="M230" s="3"/>
      <c r="N230" s="3" t="s">
        <v>261</v>
      </c>
      <c r="O230" s="1">
        <v>2000000.0</v>
      </c>
      <c r="P230" s="1" t="s">
        <v>262</v>
      </c>
      <c r="Q230" s="2">
        <f t="shared" si="30"/>
        <v>0.00105</v>
      </c>
    </row>
    <row r="231">
      <c r="M231" s="3"/>
      <c r="N231" s="3" t="s">
        <v>263</v>
      </c>
      <c r="O231" s="1">
        <v>0.0</v>
      </c>
      <c r="P231" s="1"/>
      <c r="Q231" s="2">
        <f t="shared" ref="Q231:Q232" si="31">0.015*0.43</f>
        <v>0.00645</v>
      </c>
    </row>
    <row r="232">
      <c r="M232" s="3"/>
      <c r="N232" s="3" t="s">
        <v>264</v>
      </c>
      <c r="O232" s="1">
        <v>0.0</v>
      </c>
      <c r="P232" s="1"/>
      <c r="Q232" s="2">
        <f t="shared" si="31"/>
        <v>0.00645</v>
      </c>
    </row>
    <row r="233">
      <c r="M233" s="1"/>
      <c r="N233" s="1" t="s">
        <v>265</v>
      </c>
      <c r="O233" s="1">
        <v>800000.0</v>
      </c>
      <c r="Q233" s="2">
        <f t="shared" ref="Q233:Q250" si="32">R233/100</f>
        <v>0.004</v>
      </c>
      <c r="R233" s="1">
        <v>0.4</v>
      </c>
    </row>
    <row r="234">
      <c r="M234" s="1"/>
      <c r="N234" s="1" t="s">
        <v>266</v>
      </c>
      <c r="O234" s="1">
        <v>2100000.0</v>
      </c>
      <c r="Q234" s="2">
        <f t="shared" si="32"/>
        <v>0.0013</v>
      </c>
      <c r="R234" s="1">
        <v>0.13</v>
      </c>
    </row>
    <row r="235">
      <c r="M235" s="1"/>
      <c r="N235" s="1" t="s">
        <v>267</v>
      </c>
      <c r="O235" s="1">
        <v>700000.0</v>
      </c>
      <c r="Q235" s="2">
        <f t="shared" si="32"/>
        <v>0.0013</v>
      </c>
      <c r="R235" s="1">
        <v>0.13</v>
      </c>
    </row>
    <row r="236">
      <c r="M236" s="1"/>
      <c r="N236" s="1" t="s">
        <v>268</v>
      </c>
      <c r="O236" s="1">
        <v>480000.0</v>
      </c>
      <c r="Q236" s="2">
        <f t="shared" si="32"/>
        <v>0.004</v>
      </c>
      <c r="R236" s="1">
        <v>0.4</v>
      </c>
    </row>
    <row r="237">
      <c r="M237" s="1"/>
      <c r="N237" s="1" t="s">
        <v>269</v>
      </c>
      <c r="O237" s="1">
        <v>1950000.0</v>
      </c>
      <c r="Q237" s="2">
        <f t="shared" si="32"/>
        <v>0.0013</v>
      </c>
      <c r="R237" s="1">
        <v>0.13</v>
      </c>
    </row>
    <row r="238">
      <c r="M238" s="1"/>
      <c r="N238" s="1" t="s">
        <v>270</v>
      </c>
      <c r="O238" s="1">
        <v>425000.0</v>
      </c>
      <c r="Q238" s="2">
        <f t="shared" si="32"/>
        <v>0.004</v>
      </c>
      <c r="R238" s="1">
        <v>0.4</v>
      </c>
    </row>
    <row r="239">
      <c r="M239" s="1"/>
      <c r="N239" s="1" t="s">
        <v>271</v>
      </c>
      <c r="O239" s="1">
        <v>1820000.0</v>
      </c>
      <c r="Q239" s="2">
        <f t="shared" si="32"/>
        <v>0.0013</v>
      </c>
      <c r="R239" s="1">
        <v>0.13</v>
      </c>
    </row>
    <row r="240">
      <c r="M240" s="1"/>
      <c r="N240" s="1" t="s">
        <v>272</v>
      </c>
      <c r="O240" s="1">
        <v>350000.0</v>
      </c>
      <c r="Q240" s="2">
        <f t="shared" si="32"/>
        <v>0.004</v>
      </c>
      <c r="R240" s="1">
        <v>0.4</v>
      </c>
    </row>
    <row r="241">
      <c r="M241" s="1"/>
      <c r="N241" s="1" t="s">
        <v>273</v>
      </c>
      <c r="O241" s="1">
        <v>1200000.0</v>
      </c>
      <c r="Q241" s="2">
        <f t="shared" si="32"/>
        <v>0.0013</v>
      </c>
      <c r="R241" s="1">
        <v>0.13</v>
      </c>
    </row>
    <row r="242">
      <c r="M242" s="1"/>
      <c r="N242" s="1" t="s">
        <v>274</v>
      </c>
      <c r="O242" s="1">
        <v>650000.0</v>
      </c>
      <c r="Q242" s="2">
        <f t="shared" si="32"/>
        <v>0.004</v>
      </c>
      <c r="R242" s="1">
        <v>0.4</v>
      </c>
    </row>
    <row r="243">
      <c r="M243" s="1"/>
      <c r="N243" s="1" t="s">
        <v>275</v>
      </c>
      <c r="O243" s="1">
        <v>1000000.0</v>
      </c>
      <c r="Q243" s="2">
        <f t="shared" si="32"/>
        <v>0.0013</v>
      </c>
      <c r="R243" s="1">
        <v>0.13</v>
      </c>
    </row>
    <row r="244">
      <c r="M244" s="1"/>
      <c r="N244" s="1" t="s">
        <v>276</v>
      </c>
      <c r="O244" s="1">
        <v>1000000.0</v>
      </c>
      <c r="Q244" s="2">
        <f t="shared" si="32"/>
        <v>0.004</v>
      </c>
      <c r="R244" s="1">
        <v>0.4</v>
      </c>
    </row>
    <row r="245">
      <c r="M245" s="1"/>
      <c r="N245" s="1" t="s">
        <v>277</v>
      </c>
      <c r="O245" s="1">
        <v>1300000.0</v>
      </c>
      <c r="Q245" s="2">
        <f t="shared" si="32"/>
        <v>0.0013</v>
      </c>
      <c r="R245" s="1">
        <v>0.13</v>
      </c>
    </row>
    <row r="246">
      <c r="M246" s="1"/>
      <c r="N246" s="1" t="s">
        <v>278</v>
      </c>
      <c r="O246" s="1">
        <v>139000.0</v>
      </c>
      <c r="Q246" s="2">
        <f t="shared" si="32"/>
        <v>0.004</v>
      </c>
      <c r="R246" s="1">
        <v>0.4</v>
      </c>
    </row>
    <row r="247">
      <c r="M247" s="1"/>
      <c r="N247" s="1" t="s">
        <v>279</v>
      </c>
      <c r="O247" s="1">
        <v>1500000.0</v>
      </c>
      <c r="Q247" s="2">
        <f t="shared" si="32"/>
        <v>0.0013</v>
      </c>
      <c r="R247" s="1">
        <v>0.13</v>
      </c>
    </row>
    <row r="248">
      <c r="M248" s="1"/>
      <c r="N248" s="1" t="s">
        <v>280</v>
      </c>
      <c r="O248" s="1">
        <v>125000.0</v>
      </c>
      <c r="Q248" s="2">
        <f t="shared" si="32"/>
        <v>0.004</v>
      </c>
      <c r="R248" s="1">
        <v>0.4</v>
      </c>
    </row>
    <row r="249">
      <c r="M249" s="1"/>
      <c r="N249" s="1" t="s">
        <v>281</v>
      </c>
      <c r="O249" s="1">
        <v>300000.0</v>
      </c>
      <c r="Q249" s="2">
        <f t="shared" si="32"/>
        <v>0.0013</v>
      </c>
      <c r="R249" s="1">
        <v>0.13</v>
      </c>
    </row>
    <row r="250">
      <c r="M250" s="1"/>
      <c r="N250" s="1" t="s">
        <v>282</v>
      </c>
      <c r="O250" s="1">
        <v>4000000.0</v>
      </c>
      <c r="Q250" s="2">
        <f t="shared" si="32"/>
        <v>0.0013</v>
      </c>
      <c r="R250" s="1">
        <v>0.13</v>
      </c>
    </row>
    <row r="251">
      <c r="M251" s="1"/>
      <c r="N251" s="1" t="s">
        <v>283</v>
      </c>
      <c r="O251" s="1">
        <v>930000.0</v>
      </c>
      <c r="Q251" s="2">
        <f t="shared" ref="Q251:Q252" si="33">0.01*0.12</f>
        <v>0.0012</v>
      </c>
    </row>
    <row r="252">
      <c r="M252" s="1"/>
      <c r="N252" s="1" t="s">
        <v>284</v>
      </c>
      <c r="O252" s="1">
        <v>500000.0</v>
      </c>
      <c r="Q252" s="2">
        <f t="shared" si="33"/>
        <v>0.0012</v>
      </c>
    </row>
    <row r="253">
      <c r="M253" s="3"/>
      <c r="N253" s="3" t="s">
        <v>285</v>
      </c>
      <c r="O253" s="1">
        <v>0.0</v>
      </c>
      <c r="Q253" s="2">
        <f t="shared" ref="Q253:Q254" si="34">0.01*0.38</f>
        <v>0.0038</v>
      </c>
    </row>
    <row r="254">
      <c r="M254" s="3"/>
      <c r="N254" s="3" t="s">
        <v>286</v>
      </c>
      <c r="O254" s="1">
        <v>0.0</v>
      </c>
      <c r="Q254" s="2">
        <f t="shared" si="34"/>
        <v>0.0038</v>
      </c>
    </row>
    <row r="255">
      <c r="M255" s="1"/>
      <c r="N255" s="1" t="s">
        <v>287</v>
      </c>
      <c r="O255" s="1">
        <v>3500000.0</v>
      </c>
      <c r="Q255" s="2">
        <f t="shared" ref="Q255:Q268" si="35">R255/100</f>
        <v>0.001</v>
      </c>
      <c r="R255" s="1">
        <v>0.1</v>
      </c>
    </row>
    <row r="256">
      <c r="M256" s="1"/>
      <c r="N256" s="1" t="s">
        <v>288</v>
      </c>
      <c r="O256" s="1">
        <v>300000.0</v>
      </c>
      <c r="Q256" s="2">
        <f t="shared" si="35"/>
        <v>0.003</v>
      </c>
      <c r="R256" s="1">
        <v>0.3</v>
      </c>
    </row>
    <row r="257">
      <c r="M257" s="1"/>
      <c r="N257" s="1" t="s">
        <v>289</v>
      </c>
      <c r="O257" s="1">
        <v>1000000.0</v>
      </c>
      <c r="Q257" s="2">
        <f t="shared" si="35"/>
        <v>0.001</v>
      </c>
      <c r="R257" s="1">
        <v>0.1</v>
      </c>
    </row>
    <row r="258">
      <c r="M258" s="1"/>
      <c r="N258" s="1" t="s">
        <v>290</v>
      </c>
      <c r="O258" s="1">
        <v>1000000.0</v>
      </c>
      <c r="Q258" s="2">
        <f t="shared" si="35"/>
        <v>0.003</v>
      </c>
      <c r="R258" s="1">
        <v>0.3</v>
      </c>
    </row>
    <row r="259">
      <c r="M259" s="3"/>
      <c r="N259" s="3" t="s">
        <v>291</v>
      </c>
      <c r="O259" s="1">
        <v>1000000.0</v>
      </c>
      <c r="P259" s="1" t="s">
        <v>292</v>
      </c>
      <c r="Q259" s="2">
        <f t="shared" si="35"/>
        <v>0.001</v>
      </c>
      <c r="R259" s="1">
        <v>0.1</v>
      </c>
    </row>
    <row r="260">
      <c r="M260" s="1"/>
      <c r="N260" s="1" t="s">
        <v>293</v>
      </c>
      <c r="O260" s="1">
        <v>1150000.0</v>
      </c>
      <c r="Q260" s="2">
        <f t="shared" si="35"/>
        <v>0.003</v>
      </c>
      <c r="R260" s="1">
        <v>0.3</v>
      </c>
    </row>
    <row r="261">
      <c r="M261" s="3"/>
      <c r="N261" s="3" t="s">
        <v>294</v>
      </c>
      <c r="O261" s="1">
        <v>3000000.0</v>
      </c>
      <c r="P261" s="1" t="s">
        <v>295</v>
      </c>
      <c r="Q261" s="2">
        <f t="shared" si="35"/>
        <v>0.001</v>
      </c>
      <c r="R261" s="1">
        <v>0.1</v>
      </c>
    </row>
    <row r="262">
      <c r="M262" s="1"/>
      <c r="N262" s="1" t="s">
        <v>296</v>
      </c>
      <c r="O262" s="1">
        <v>1250000.0</v>
      </c>
      <c r="Q262" s="2">
        <f t="shared" si="35"/>
        <v>0.003</v>
      </c>
      <c r="R262" s="1">
        <v>0.3</v>
      </c>
    </row>
    <row r="263">
      <c r="M263" s="3"/>
      <c r="N263" s="3" t="s">
        <v>297</v>
      </c>
      <c r="O263" s="1">
        <v>850000.0</v>
      </c>
      <c r="P263" s="1" t="s">
        <v>298</v>
      </c>
      <c r="Q263" s="2">
        <f t="shared" si="35"/>
        <v>0.001</v>
      </c>
      <c r="R263" s="1">
        <v>0.1</v>
      </c>
    </row>
    <row r="264">
      <c r="M264" s="3"/>
      <c r="N264" s="3" t="s">
        <v>299</v>
      </c>
      <c r="O264" s="1">
        <v>1000000.0</v>
      </c>
      <c r="P264" s="1" t="s">
        <v>295</v>
      </c>
      <c r="Q264" s="2">
        <f t="shared" si="35"/>
        <v>0.001</v>
      </c>
      <c r="R264" s="1">
        <v>0.1</v>
      </c>
    </row>
    <row r="265">
      <c r="M265" s="3"/>
      <c r="N265" s="3" t="s">
        <v>300</v>
      </c>
      <c r="O265" s="1">
        <v>1000000.0</v>
      </c>
      <c r="P265" s="1" t="s">
        <v>295</v>
      </c>
      <c r="Q265" s="2">
        <f t="shared" si="35"/>
        <v>0.001</v>
      </c>
      <c r="R265" s="1">
        <v>0.1</v>
      </c>
    </row>
    <row r="266">
      <c r="M266" s="3"/>
      <c r="N266" s="3" t="s">
        <v>301</v>
      </c>
      <c r="O266" s="1">
        <v>1000000.0</v>
      </c>
      <c r="P266" s="1" t="s">
        <v>295</v>
      </c>
      <c r="Q266" s="2">
        <f t="shared" si="35"/>
        <v>0.001</v>
      </c>
      <c r="R266" s="1">
        <v>0.1</v>
      </c>
    </row>
    <row r="267">
      <c r="M267" s="1"/>
      <c r="N267" s="1" t="s">
        <v>302</v>
      </c>
      <c r="O267" s="1">
        <v>1275000.0</v>
      </c>
      <c r="Q267" s="2">
        <f t="shared" si="35"/>
        <v>0.001</v>
      </c>
      <c r="R267" s="1">
        <v>0.1</v>
      </c>
    </row>
    <row r="268">
      <c r="M268" s="1"/>
      <c r="N268" s="1" t="s">
        <v>303</v>
      </c>
      <c r="O268" s="1">
        <v>5000000.0</v>
      </c>
      <c r="Q268" s="2">
        <f t="shared" si="35"/>
        <v>0.001</v>
      </c>
      <c r="R268" s="1">
        <v>0.1</v>
      </c>
    </row>
    <row r="269">
      <c r="M269" s="1"/>
      <c r="N269" s="1" t="s">
        <v>304</v>
      </c>
      <c r="O269" s="1">
        <v>800000.0</v>
      </c>
      <c r="Q269" s="2">
        <f t="shared" ref="Q269:Q270" si="36">0.008*0.12</f>
        <v>0.00096</v>
      </c>
    </row>
    <row r="270">
      <c r="M270" s="1"/>
      <c r="N270" s="1" t="s">
        <v>305</v>
      </c>
      <c r="O270" s="1">
        <v>480000.0</v>
      </c>
      <c r="Q270" s="2">
        <f t="shared" si="36"/>
        <v>0.00096</v>
      </c>
    </row>
    <row r="271">
      <c r="M271" s="3"/>
      <c r="N271" s="3" t="s">
        <v>306</v>
      </c>
      <c r="O271" s="1">
        <v>0.0</v>
      </c>
      <c r="Q271" s="2">
        <f t="shared" ref="Q271:Q272" si="37">0.008*0.38</f>
        <v>0.00304</v>
      </c>
    </row>
    <row r="272">
      <c r="M272" s="3"/>
      <c r="N272" s="3" t="s">
        <v>307</v>
      </c>
      <c r="O272" s="1">
        <v>0.0</v>
      </c>
      <c r="Q272" s="2">
        <f t="shared" si="37"/>
        <v>0.00304</v>
      </c>
    </row>
    <row r="273">
      <c r="M273" s="1"/>
      <c r="N273" s="1" t="s">
        <v>308</v>
      </c>
      <c r="O273" s="1">
        <v>60000.0</v>
      </c>
      <c r="Q273" s="2">
        <f t="shared" ref="Q273:Q290" si="38">R273/100</f>
        <v>0.0025</v>
      </c>
      <c r="R273" s="1">
        <v>0.25</v>
      </c>
    </row>
    <row r="274">
      <c r="M274" s="3"/>
      <c r="N274" s="3" t="s">
        <v>309</v>
      </c>
      <c r="O274" s="1">
        <v>1000000.0</v>
      </c>
      <c r="P274" s="1" t="s">
        <v>298</v>
      </c>
      <c r="Q274" s="2">
        <f t="shared" si="38"/>
        <v>0.0008</v>
      </c>
      <c r="R274" s="1">
        <v>0.08</v>
      </c>
    </row>
    <row r="275">
      <c r="M275" s="1"/>
      <c r="N275" s="1" t="s">
        <v>310</v>
      </c>
      <c r="O275" s="1">
        <v>8650.0</v>
      </c>
      <c r="Q275" s="2">
        <f t="shared" si="38"/>
        <v>0.0025</v>
      </c>
      <c r="R275" s="1">
        <v>0.25</v>
      </c>
    </row>
    <row r="276">
      <c r="M276" s="1"/>
      <c r="N276" s="1" t="s">
        <v>311</v>
      </c>
      <c r="O276" s="1">
        <v>2500000.0</v>
      </c>
      <c r="Q276" s="2">
        <f t="shared" si="38"/>
        <v>0.0008</v>
      </c>
      <c r="R276" s="1">
        <v>0.08</v>
      </c>
    </row>
    <row r="277">
      <c r="M277" s="1"/>
      <c r="N277" s="1" t="s">
        <v>312</v>
      </c>
      <c r="O277" s="1">
        <v>100000.0</v>
      </c>
      <c r="Q277" s="2">
        <f t="shared" si="38"/>
        <v>0.0025</v>
      </c>
      <c r="R277" s="1">
        <v>0.25</v>
      </c>
    </row>
    <row r="278">
      <c r="M278" s="3"/>
      <c r="N278" s="3" t="s">
        <v>313</v>
      </c>
      <c r="O278" s="1">
        <v>1000000.0</v>
      </c>
      <c r="P278" s="1" t="s">
        <v>295</v>
      </c>
      <c r="Q278" s="2">
        <f t="shared" si="38"/>
        <v>0.0008</v>
      </c>
      <c r="R278" s="1">
        <v>0.08</v>
      </c>
    </row>
    <row r="279">
      <c r="M279" s="1"/>
      <c r="N279" s="1" t="s">
        <v>314</v>
      </c>
      <c r="O279" s="1">
        <v>140000.0</v>
      </c>
      <c r="Q279" s="2">
        <f t="shared" si="38"/>
        <v>0.0025</v>
      </c>
      <c r="R279" s="1">
        <v>0.25</v>
      </c>
    </row>
    <row r="280">
      <c r="M280" s="3"/>
      <c r="N280" s="3" t="s">
        <v>315</v>
      </c>
      <c r="O280" s="1">
        <v>1000000.0</v>
      </c>
      <c r="P280" s="1" t="s">
        <v>295</v>
      </c>
      <c r="Q280" s="2">
        <f t="shared" si="38"/>
        <v>0.0008</v>
      </c>
      <c r="R280" s="1">
        <v>0.08</v>
      </c>
    </row>
    <row r="281">
      <c r="M281" s="3"/>
      <c r="N281" s="3" t="s">
        <v>316</v>
      </c>
      <c r="O281" s="1">
        <v>5000000.0</v>
      </c>
      <c r="P281" s="1" t="s">
        <v>317</v>
      </c>
      <c r="Q281" s="2">
        <f t="shared" si="38"/>
        <v>0.0008</v>
      </c>
      <c r="R281" s="1">
        <v>0.08</v>
      </c>
    </row>
    <row r="282">
      <c r="M282" s="1"/>
      <c r="N282" s="1" t="s">
        <v>318</v>
      </c>
      <c r="O282" s="1">
        <v>250000.0</v>
      </c>
      <c r="Q282" s="2">
        <f t="shared" si="38"/>
        <v>0.0025</v>
      </c>
      <c r="R282" s="1">
        <v>0.25</v>
      </c>
    </row>
    <row r="283">
      <c r="M283" s="3"/>
      <c r="N283" s="3" t="s">
        <v>319</v>
      </c>
      <c r="O283" s="1">
        <v>1000000.0</v>
      </c>
      <c r="P283" s="1" t="s">
        <v>295</v>
      </c>
      <c r="Q283" s="2">
        <f t="shared" si="38"/>
        <v>0.0008</v>
      </c>
      <c r="R283" s="1">
        <v>0.08</v>
      </c>
    </row>
    <row r="284">
      <c r="M284" s="1"/>
      <c r="N284" s="1" t="s">
        <v>320</v>
      </c>
      <c r="O284" s="1">
        <v>100000.0</v>
      </c>
      <c r="Q284" s="2">
        <f t="shared" si="38"/>
        <v>0.0025</v>
      </c>
      <c r="R284" s="1">
        <v>0.25</v>
      </c>
    </row>
    <row r="285">
      <c r="M285" s="3"/>
      <c r="N285" s="3" t="s">
        <v>321</v>
      </c>
      <c r="O285" s="1">
        <v>4000000.0</v>
      </c>
      <c r="P285" s="1" t="s">
        <v>298</v>
      </c>
      <c r="Q285" s="2">
        <f t="shared" si="38"/>
        <v>0.0008</v>
      </c>
      <c r="R285" s="1">
        <v>0.08</v>
      </c>
    </row>
    <row r="286">
      <c r="M286" s="1"/>
      <c r="N286" s="1" t="s">
        <v>322</v>
      </c>
      <c r="O286" s="1">
        <v>85000.0</v>
      </c>
      <c r="Q286" s="2">
        <f t="shared" si="38"/>
        <v>0.0025</v>
      </c>
      <c r="R286" s="1">
        <v>0.25</v>
      </c>
    </row>
    <row r="287">
      <c r="M287" s="1"/>
      <c r="N287" s="1" t="s">
        <v>323</v>
      </c>
      <c r="O287" s="1">
        <v>2500000.0</v>
      </c>
      <c r="Q287" s="2">
        <f t="shared" si="38"/>
        <v>0.0008</v>
      </c>
      <c r="R287" s="1">
        <v>0.08</v>
      </c>
    </row>
    <row r="288">
      <c r="M288" s="1"/>
      <c r="N288" s="1" t="s">
        <v>324</v>
      </c>
      <c r="O288" s="1">
        <v>62000.0</v>
      </c>
      <c r="Q288" s="2">
        <f t="shared" si="38"/>
        <v>0.0025</v>
      </c>
      <c r="R288" s="1">
        <v>0.25</v>
      </c>
    </row>
    <row r="289">
      <c r="M289" s="1"/>
      <c r="N289" s="1" t="s">
        <v>325</v>
      </c>
      <c r="O289" s="1">
        <v>2000000.0</v>
      </c>
      <c r="Q289" s="2">
        <f t="shared" si="38"/>
        <v>0.0008</v>
      </c>
      <c r="R289" s="1">
        <v>0.08</v>
      </c>
    </row>
    <row r="290">
      <c r="M290" s="1"/>
      <c r="N290" s="1" t="s">
        <v>326</v>
      </c>
      <c r="O290" s="1">
        <v>7500000.0</v>
      </c>
      <c r="Q290" s="2">
        <f t="shared" si="38"/>
        <v>0.0008</v>
      </c>
      <c r="R290" s="1">
        <v>0.08</v>
      </c>
    </row>
    <row r="291">
      <c r="M291" s="3"/>
      <c r="N291" s="3" t="s">
        <v>327</v>
      </c>
      <c r="O291" s="2">
        <f>140000*30</f>
        <v>4200000</v>
      </c>
      <c r="P291" s="1" t="s">
        <v>328</v>
      </c>
      <c r="Q291" s="2">
        <f t="shared" ref="Q291:Q294" si="39">0.007*0.06</f>
        <v>0.00042</v>
      </c>
    </row>
    <row r="292">
      <c r="M292" s="3"/>
      <c r="N292" s="3" t="s">
        <v>329</v>
      </c>
      <c r="O292" s="2">
        <f>45000*30</f>
        <v>1350000</v>
      </c>
      <c r="P292" s="1" t="s">
        <v>328</v>
      </c>
      <c r="Q292" s="2">
        <f t="shared" si="39"/>
        <v>0.00042</v>
      </c>
    </row>
    <row r="293">
      <c r="M293" s="3"/>
      <c r="N293" s="3" t="s">
        <v>330</v>
      </c>
      <c r="O293" s="2">
        <f>30000*30</f>
        <v>900000</v>
      </c>
      <c r="P293" s="1" t="s">
        <v>328</v>
      </c>
      <c r="Q293" s="2">
        <f t="shared" si="39"/>
        <v>0.00042</v>
      </c>
    </row>
    <row r="294">
      <c r="M294" s="1"/>
      <c r="N294" s="1" t="s">
        <v>331</v>
      </c>
      <c r="O294" s="1">
        <v>600000.0</v>
      </c>
      <c r="Q294" s="2">
        <f t="shared" si="39"/>
        <v>0.00042</v>
      </c>
    </row>
    <row r="295">
      <c r="M295" s="3"/>
      <c r="N295" s="3" t="s">
        <v>332</v>
      </c>
      <c r="O295" s="1">
        <v>0.0</v>
      </c>
      <c r="Q295" s="2">
        <f t="shared" ref="Q295:Q298" si="40">0.007*0.19</f>
        <v>0.00133</v>
      </c>
    </row>
    <row r="296">
      <c r="M296" s="3"/>
      <c r="N296" s="3" t="s">
        <v>333</v>
      </c>
      <c r="O296" s="1">
        <v>0.0</v>
      </c>
      <c r="Q296" s="2">
        <f t="shared" si="40"/>
        <v>0.00133</v>
      </c>
    </row>
    <row r="297">
      <c r="M297" s="3"/>
      <c r="N297" s="3" t="s">
        <v>334</v>
      </c>
      <c r="O297" s="1">
        <v>0.0</v>
      </c>
      <c r="Q297" s="2">
        <f t="shared" si="40"/>
        <v>0.00133</v>
      </c>
    </row>
    <row r="298">
      <c r="M298" s="3"/>
      <c r="N298" s="3" t="s">
        <v>335</v>
      </c>
      <c r="O298" s="1">
        <v>0.0</v>
      </c>
      <c r="Q298" s="2">
        <f t="shared" si="40"/>
        <v>0.00133</v>
      </c>
    </row>
    <row r="299">
      <c r="M299" s="1"/>
      <c r="N299" s="1" t="s">
        <v>336</v>
      </c>
      <c r="O299" s="1">
        <v>250000.0</v>
      </c>
      <c r="Q299" s="2">
        <f t="shared" ref="Q299:Q314" si="41">R299/100</f>
        <v>0.0025</v>
      </c>
      <c r="R299" s="1">
        <v>0.25</v>
      </c>
    </row>
    <row r="300">
      <c r="M300" s="3"/>
      <c r="N300" s="3" t="s">
        <v>337</v>
      </c>
      <c r="O300" s="1">
        <v>1000000.0</v>
      </c>
      <c r="P300" s="1" t="s">
        <v>295</v>
      </c>
      <c r="Q300" s="2">
        <f t="shared" si="41"/>
        <v>0.0004</v>
      </c>
      <c r="R300" s="1">
        <v>0.04</v>
      </c>
    </row>
    <row r="301">
      <c r="M301" s="1"/>
      <c r="N301" s="1" t="s">
        <v>338</v>
      </c>
      <c r="O301" s="1">
        <v>30000.0</v>
      </c>
      <c r="Q301" s="2">
        <f t="shared" si="41"/>
        <v>0.0025</v>
      </c>
      <c r="R301" s="1">
        <v>0.25</v>
      </c>
    </row>
    <row r="302">
      <c r="M302" s="3"/>
      <c r="N302" s="3" t="s">
        <v>339</v>
      </c>
      <c r="O302" s="1">
        <v>1000000.0</v>
      </c>
      <c r="P302" s="1" t="s">
        <v>295</v>
      </c>
      <c r="Q302" s="2">
        <f t="shared" si="41"/>
        <v>0.0004</v>
      </c>
      <c r="R302" s="1">
        <v>0.04</v>
      </c>
    </row>
    <row r="303">
      <c r="M303" s="3"/>
      <c r="N303" s="3" t="s">
        <v>340</v>
      </c>
      <c r="O303" s="1">
        <v>4500000.0</v>
      </c>
      <c r="P303" s="1" t="s">
        <v>295</v>
      </c>
      <c r="Q303" s="2">
        <f t="shared" si="41"/>
        <v>0.0004</v>
      </c>
      <c r="R303" s="1">
        <v>0.04</v>
      </c>
    </row>
    <row r="304">
      <c r="M304" s="3"/>
      <c r="N304" s="3" t="s">
        <v>341</v>
      </c>
      <c r="O304" s="1">
        <v>1000000.0</v>
      </c>
      <c r="P304" s="1" t="s">
        <v>295</v>
      </c>
      <c r="Q304" s="2">
        <f t="shared" si="41"/>
        <v>0.0004</v>
      </c>
      <c r="R304" s="1">
        <v>0.04</v>
      </c>
    </row>
    <row r="305">
      <c r="M305" s="3"/>
      <c r="N305" s="3" t="s">
        <v>342</v>
      </c>
      <c r="O305" s="1">
        <v>1000000.0</v>
      </c>
      <c r="P305" s="1" t="s">
        <v>295</v>
      </c>
      <c r="Q305" s="2">
        <f t="shared" si="41"/>
        <v>0.0004</v>
      </c>
      <c r="R305" s="1">
        <v>0.04</v>
      </c>
    </row>
    <row r="306">
      <c r="M306" s="1"/>
      <c r="N306" s="1" t="s">
        <v>343</v>
      </c>
      <c r="O306" s="1">
        <v>450000.0</v>
      </c>
      <c r="Q306" s="2">
        <f t="shared" si="41"/>
        <v>0.0025</v>
      </c>
      <c r="R306" s="1">
        <v>0.25</v>
      </c>
    </row>
    <row r="307">
      <c r="M307" s="3"/>
      <c r="N307" s="3" t="s">
        <v>344</v>
      </c>
      <c r="O307" s="1">
        <v>1000000.0</v>
      </c>
      <c r="P307" s="1" t="s">
        <v>295</v>
      </c>
      <c r="Q307" s="2">
        <f t="shared" si="41"/>
        <v>0.0004</v>
      </c>
      <c r="R307" s="1">
        <v>0.04</v>
      </c>
    </row>
    <row r="308">
      <c r="M308" s="1"/>
      <c r="N308" s="1" t="s">
        <v>345</v>
      </c>
      <c r="O308" s="1">
        <v>225000.0</v>
      </c>
      <c r="Q308" s="2">
        <f t="shared" si="41"/>
        <v>0.0025</v>
      </c>
      <c r="R308" s="1">
        <v>0.25</v>
      </c>
    </row>
    <row r="309">
      <c r="M309" s="3"/>
      <c r="N309" s="3" t="s">
        <v>346</v>
      </c>
      <c r="O309" s="1">
        <v>1000000.0</v>
      </c>
      <c r="P309" s="1" t="s">
        <v>295</v>
      </c>
      <c r="Q309" s="2">
        <f t="shared" si="41"/>
        <v>0.0004</v>
      </c>
      <c r="R309" s="1">
        <v>0.04</v>
      </c>
    </row>
    <row r="310">
      <c r="M310" s="1"/>
      <c r="N310" s="1" t="s">
        <v>347</v>
      </c>
      <c r="O310" s="1">
        <v>88000.0</v>
      </c>
      <c r="Q310" s="2">
        <f t="shared" si="41"/>
        <v>0.0025</v>
      </c>
      <c r="R310" s="1">
        <v>0.25</v>
      </c>
    </row>
    <row r="311">
      <c r="M311" s="3"/>
      <c r="N311" s="3" t="s">
        <v>348</v>
      </c>
      <c r="O311" s="1">
        <v>1000000.0</v>
      </c>
      <c r="P311" s="1" t="s">
        <v>295</v>
      </c>
      <c r="Q311" s="2">
        <f t="shared" si="41"/>
        <v>0.0004</v>
      </c>
      <c r="R311" s="1">
        <v>0.04</v>
      </c>
    </row>
    <row r="312">
      <c r="M312" s="1"/>
      <c r="N312" s="1" t="s">
        <v>349</v>
      </c>
      <c r="O312" s="1">
        <v>60000.0</v>
      </c>
      <c r="Q312" s="2">
        <f t="shared" si="41"/>
        <v>0.0025</v>
      </c>
      <c r="R312" s="1">
        <v>0.25</v>
      </c>
    </row>
    <row r="313">
      <c r="M313" s="3"/>
      <c r="N313" s="3" t="s">
        <v>350</v>
      </c>
      <c r="O313" s="1">
        <v>1000000.0</v>
      </c>
      <c r="P313" s="1" t="s">
        <v>295</v>
      </c>
      <c r="Q313" s="2">
        <f t="shared" si="41"/>
        <v>0.0004</v>
      </c>
      <c r="R313" s="1">
        <v>0.04</v>
      </c>
    </row>
    <row r="314">
      <c r="M314" s="1"/>
      <c r="N314" s="1" t="s">
        <v>351</v>
      </c>
      <c r="O314" s="1">
        <v>1000000.0</v>
      </c>
      <c r="P314" s="1" t="s">
        <v>295</v>
      </c>
      <c r="Q314" s="2">
        <f t="shared" si="41"/>
        <v>0.0004</v>
      </c>
      <c r="R314" s="1">
        <v>0.04</v>
      </c>
    </row>
    <row r="315">
      <c r="M315" s="1"/>
      <c r="N315" s="1" t="s">
        <v>352</v>
      </c>
      <c r="O315" s="1">
        <v>800000.0</v>
      </c>
      <c r="Q315" s="2">
        <f t="shared" ref="Q315:Q317" si="42">0.006*0.07</f>
        <v>0.00042</v>
      </c>
    </row>
    <row r="316">
      <c r="M316" s="1"/>
      <c r="N316" s="1" t="s">
        <v>353</v>
      </c>
      <c r="O316" s="1">
        <v>570000.0</v>
      </c>
      <c r="Q316" s="2">
        <f t="shared" si="42"/>
        <v>0.00042</v>
      </c>
    </row>
    <row r="317">
      <c r="M317" s="1"/>
      <c r="N317" s="1" t="s">
        <v>354</v>
      </c>
      <c r="O317" s="1">
        <v>395000.0</v>
      </c>
      <c r="Q317" s="2">
        <f t="shared" si="42"/>
        <v>0.00042</v>
      </c>
    </row>
    <row r="318">
      <c r="M318" s="3"/>
      <c r="N318" s="3" t="s">
        <v>355</v>
      </c>
      <c r="O318" s="1">
        <v>0.0</v>
      </c>
      <c r="Q318" s="2">
        <f t="shared" ref="Q318:Q319" si="43">0.006*0.26</f>
        <v>0.00156</v>
      </c>
    </row>
    <row r="319">
      <c r="M319" s="3"/>
      <c r="N319" s="3" t="s">
        <v>356</v>
      </c>
      <c r="O319" s="1">
        <v>0.0</v>
      </c>
      <c r="Q319" s="2">
        <f t="shared" si="43"/>
        <v>0.00156</v>
      </c>
    </row>
    <row r="320">
      <c r="M320" s="3"/>
      <c r="N320" s="3" t="s">
        <v>357</v>
      </c>
      <c r="O320" s="1">
        <v>0.0</v>
      </c>
      <c r="Q320" s="2">
        <f>0.006*0.27</f>
        <v>0.00162</v>
      </c>
    </row>
    <row r="321">
      <c r="M321" s="3"/>
      <c r="N321" s="3" t="s">
        <v>358</v>
      </c>
      <c r="O321" s="1">
        <v>1.0E7</v>
      </c>
      <c r="P321" s="1" t="s">
        <v>295</v>
      </c>
      <c r="Q321" s="2">
        <f t="shared" ref="Q321:Q336" si="44">R321/100</f>
        <v>0.00005</v>
      </c>
      <c r="R321" s="1">
        <v>0.005</v>
      </c>
    </row>
    <row r="322">
      <c r="M322" s="3"/>
      <c r="N322" s="3" t="s">
        <v>359</v>
      </c>
      <c r="O322" s="1">
        <v>1.0E7</v>
      </c>
      <c r="P322" s="1" t="s">
        <v>295</v>
      </c>
      <c r="Q322" s="2">
        <f t="shared" si="44"/>
        <v>0.00015</v>
      </c>
      <c r="R322" s="1">
        <v>0.015</v>
      </c>
    </row>
    <row r="323">
      <c r="M323" s="3"/>
      <c r="N323" s="3" t="s">
        <v>360</v>
      </c>
      <c r="O323" s="1">
        <v>1.0E7</v>
      </c>
      <c r="P323" s="1" t="s">
        <v>295</v>
      </c>
      <c r="Q323" s="2">
        <f t="shared" si="44"/>
        <v>0.00015</v>
      </c>
      <c r="R323" s="1">
        <v>0.015</v>
      </c>
    </row>
    <row r="324">
      <c r="M324" s="3"/>
      <c r="N324" s="3" t="s">
        <v>361</v>
      </c>
      <c r="O324" s="1">
        <v>1.0E7</v>
      </c>
      <c r="P324" s="1" t="s">
        <v>295</v>
      </c>
      <c r="Q324" s="2">
        <f t="shared" si="44"/>
        <v>0.00015</v>
      </c>
      <c r="R324" s="1">
        <v>0.015</v>
      </c>
    </row>
    <row r="325">
      <c r="M325" s="3"/>
      <c r="N325" s="3" t="s">
        <v>362</v>
      </c>
      <c r="O325" s="1">
        <v>1.0E7</v>
      </c>
      <c r="P325" s="1" t="s">
        <v>295</v>
      </c>
      <c r="Q325" s="2">
        <f t="shared" si="44"/>
        <v>0.00015</v>
      </c>
      <c r="R325" s="1">
        <v>0.015</v>
      </c>
    </row>
    <row r="326">
      <c r="M326" s="1"/>
      <c r="N326" s="1" t="s">
        <v>363</v>
      </c>
      <c r="O326" s="1">
        <v>1440000.0</v>
      </c>
      <c r="Q326" s="2">
        <f t="shared" si="44"/>
        <v>0.0025</v>
      </c>
      <c r="R326" s="1">
        <v>0.25</v>
      </c>
    </row>
    <row r="327">
      <c r="M327" s="3"/>
      <c r="N327" s="3" t="s">
        <v>364</v>
      </c>
      <c r="O327" s="1">
        <v>1.0E7</v>
      </c>
      <c r="P327" s="1" t="s">
        <v>295</v>
      </c>
      <c r="Q327" s="2">
        <f t="shared" si="44"/>
        <v>0.00005</v>
      </c>
      <c r="R327" s="1">
        <v>0.005</v>
      </c>
    </row>
    <row r="328">
      <c r="M328" s="1"/>
      <c r="N328" s="1" t="s">
        <v>365</v>
      </c>
      <c r="O328" s="1">
        <v>400000.0</v>
      </c>
      <c r="Q328" s="2">
        <f t="shared" si="44"/>
        <v>0.0025</v>
      </c>
      <c r="R328" s="1">
        <v>0.25</v>
      </c>
    </row>
    <row r="329">
      <c r="M329" s="3"/>
      <c r="N329" s="3" t="s">
        <v>366</v>
      </c>
      <c r="O329" s="1">
        <v>1.0E7</v>
      </c>
      <c r="P329" s="1" t="s">
        <v>295</v>
      </c>
      <c r="Q329" s="2">
        <f t="shared" si="44"/>
        <v>0.00015</v>
      </c>
      <c r="R329" s="1">
        <v>0.015</v>
      </c>
    </row>
    <row r="330">
      <c r="M330" s="1"/>
      <c r="N330" s="1" t="s">
        <v>367</v>
      </c>
      <c r="O330" s="1">
        <v>200000.0</v>
      </c>
      <c r="Q330" s="2">
        <f t="shared" si="44"/>
        <v>0.0025</v>
      </c>
      <c r="R330" s="1">
        <v>0.25</v>
      </c>
    </row>
    <row r="331">
      <c r="M331" s="1"/>
      <c r="N331" s="1" t="s">
        <v>368</v>
      </c>
      <c r="O331" s="1">
        <v>580000.0</v>
      </c>
      <c r="Q331" s="2">
        <f t="shared" si="44"/>
        <v>0.0025</v>
      </c>
      <c r="R331" s="1">
        <v>0.25</v>
      </c>
    </row>
    <row r="332">
      <c r="M332" s="3"/>
      <c r="N332" s="3" t="s">
        <v>369</v>
      </c>
      <c r="O332" s="1">
        <v>1.0E7</v>
      </c>
      <c r="P332" s="1" t="s">
        <v>295</v>
      </c>
      <c r="Q332" s="2">
        <f t="shared" si="44"/>
        <v>0.00015</v>
      </c>
      <c r="R332" s="1">
        <v>0.015</v>
      </c>
    </row>
    <row r="333">
      <c r="M333" s="1"/>
      <c r="N333" s="1" t="s">
        <v>370</v>
      </c>
      <c r="O333" s="1">
        <v>250000.0</v>
      </c>
      <c r="Q333" s="2">
        <f t="shared" si="44"/>
        <v>0.0025</v>
      </c>
      <c r="R333" s="1">
        <v>0.25</v>
      </c>
    </row>
    <row r="334">
      <c r="M334" s="3"/>
      <c r="N334" s="3" t="s">
        <v>371</v>
      </c>
      <c r="O334" s="1">
        <v>1.0E7</v>
      </c>
      <c r="P334" s="1" t="s">
        <v>295</v>
      </c>
      <c r="Q334" s="2">
        <f t="shared" si="44"/>
        <v>0.00015</v>
      </c>
      <c r="R334" s="1">
        <v>0.015</v>
      </c>
    </row>
    <row r="335">
      <c r="M335" s="3"/>
      <c r="N335" s="3" t="s">
        <v>372</v>
      </c>
      <c r="O335" s="1">
        <v>1.0E7</v>
      </c>
      <c r="P335" s="1" t="s">
        <v>295</v>
      </c>
      <c r="Q335" s="2">
        <f t="shared" si="44"/>
        <v>0.00015</v>
      </c>
      <c r="R335" s="1">
        <v>0.015</v>
      </c>
    </row>
    <row r="336">
      <c r="M336" s="3"/>
      <c r="N336" s="3" t="s">
        <v>373</v>
      </c>
      <c r="O336" s="1">
        <v>1.0E7</v>
      </c>
      <c r="P336" s="1" t="s">
        <v>295</v>
      </c>
      <c r="Q336" s="2">
        <f t="shared" si="44"/>
        <v>0.00015</v>
      </c>
      <c r="R336" s="1">
        <v>0.015</v>
      </c>
    </row>
    <row r="337">
      <c r="M337" s="1"/>
      <c r="N337" s="1" t="s">
        <v>374</v>
      </c>
      <c r="O337" s="1">
        <v>888888.0</v>
      </c>
      <c r="Q337" s="2">
        <f t="shared" ref="Q337:Q341" si="45">0.005*0.05</f>
        <v>0.00025</v>
      </c>
    </row>
    <row r="338">
      <c r="M338" s="3"/>
      <c r="N338" s="3" t="s">
        <v>375</v>
      </c>
      <c r="O338" s="2">
        <f>30*45000</f>
        <v>1350000</v>
      </c>
      <c r="P338" s="1" t="s">
        <v>328</v>
      </c>
      <c r="Q338" s="2">
        <f t="shared" si="45"/>
        <v>0.00025</v>
      </c>
    </row>
    <row r="339">
      <c r="M339" s="3"/>
      <c r="N339" s="3" t="s">
        <v>376</v>
      </c>
      <c r="O339" s="2">
        <f>80000*30</f>
        <v>2400000</v>
      </c>
      <c r="P339" s="1" t="s">
        <v>328</v>
      </c>
      <c r="Q339" s="2">
        <f t="shared" si="45"/>
        <v>0.00025</v>
      </c>
    </row>
    <row r="340">
      <c r="M340" s="3"/>
      <c r="N340" s="3" t="s">
        <v>377</v>
      </c>
      <c r="O340" s="2">
        <f>70000*30</f>
        <v>2100000</v>
      </c>
      <c r="P340" s="1" t="s">
        <v>328</v>
      </c>
      <c r="Q340" s="2">
        <f t="shared" si="45"/>
        <v>0.00025</v>
      </c>
    </row>
    <row r="341">
      <c r="M341" s="3"/>
      <c r="N341" s="3" t="s">
        <v>378</v>
      </c>
      <c r="O341" s="2">
        <f>66000*30</f>
        <v>1980000</v>
      </c>
      <c r="P341" s="1" t="s">
        <v>328</v>
      </c>
      <c r="Q341" s="2">
        <f t="shared" si="45"/>
        <v>0.00025</v>
      </c>
    </row>
    <row r="342">
      <c r="M342" s="1"/>
      <c r="N342" s="1" t="s">
        <v>379</v>
      </c>
      <c r="O342" s="1">
        <v>0.0</v>
      </c>
      <c r="Q342" s="2">
        <f t="shared" ref="Q342:Q346" si="46">0.005*0.15</f>
        <v>0.00075</v>
      </c>
    </row>
    <row r="343">
      <c r="M343" s="1"/>
      <c r="N343" s="1" t="s">
        <v>380</v>
      </c>
      <c r="O343" s="1">
        <v>0.0</v>
      </c>
      <c r="Q343" s="2">
        <f t="shared" si="46"/>
        <v>0.00075</v>
      </c>
    </row>
    <row r="344">
      <c r="M344" s="1"/>
      <c r="N344" s="1" t="s">
        <v>381</v>
      </c>
      <c r="O344" s="1">
        <v>0.0</v>
      </c>
      <c r="Q344" s="2">
        <f t="shared" si="46"/>
        <v>0.00075</v>
      </c>
    </row>
    <row r="345">
      <c r="M345" s="1"/>
      <c r="N345" s="1" t="s">
        <v>382</v>
      </c>
      <c r="O345" s="1">
        <v>0.0</v>
      </c>
      <c r="Q345" s="2">
        <f t="shared" si="46"/>
        <v>0.00075</v>
      </c>
    </row>
    <row r="346">
      <c r="M346" s="1"/>
      <c r="N346" s="1" t="s">
        <v>383</v>
      </c>
      <c r="O346" s="1">
        <v>0.0</v>
      </c>
      <c r="Q346" s="2">
        <f t="shared" si="46"/>
        <v>0.00075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.0"/>
    <col customWidth="1" min="7" max="7" width="18.25"/>
    <col customWidth="1" min="8" max="8" width="14.38"/>
    <col customWidth="1" min="9" max="9" width="19.0"/>
  </cols>
  <sheetData>
    <row r="1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  <c r="AA1" s="1" t="s">
        <v>410</v>
      </c>
      <c r="AB1" s="1" t="s">
        <v>411</v>
      </c>
      <c r="AC1" s="1" t="s">
        <v>412</v>
      </c>
      <c r="AD1" s="1" t="s">
        <v>413</v>
      </c>
      <c r="AE1" s="1" t="s">
        <v>414</v>
      </c>
      <c r="AF1" s="1" t="s">
        <v>415</v>
      </c>
      <c r="AG1" s="1" t="s">
        <v>416</v>
      </c>
      <c r="AH1" s="1" t="s">
        <v>417</v>
      </c>
      <c r="AI1" s="1" t="s">
        <v>418</v>
      </c>
      <c r="AJ1" s="1" t="s">
        <v>419</v>
      </c>
      <c r="AK1" s="1" t="s">
        <v>420</v>
      </c>
      <c r="AL1" s="1" t="s">
        <v>421</v>
      </c>
      <c r="AM1" s="1" t="s">
        <v>422</v>
      </c>
      <c r="AN1" s="1" t="s">
        <v>423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428</v>
      </c>
      <c r="AT1" s="1" t="s">
        <v>429</v>
      </c>
      <c r="AU1" s="1" t="s">
        <v>430</v>
      </c>
      <c r="AV1" s="1" t="s">
        <v>431</v>
      </c>
      <c r="AW1" s="1" t="s">
        <v>432</v>
      </c>
      <c r="AX1" s="1" t="s">
        <v>433</v>
      </c>
      <c r="AY1" s="1" t="s">
        <v>434</v>
      </c>
      <c r="AZ1" s="1" t="s">
        <v>435</v>
      </c>
      <c r="BA1" s="1" t="s">
        <v>436</v>
      </c>
      <c r="BB1" s="1" t="s">
        <v>437</v>
      </c>
      <c r="BC1" s="1" t="s">
        <v>438</v>
      </c>
      <c r="BD1" s="1" t="s">
        <v>439</v>
      </c>
      <c r="BE1" s="1" t="s">
        <v>440</v>
      </c>
      <c r="BF1" s="1" t="s">
        <v>441</v>
      </c>
      <c r="BG1" s="1" t="s">
        <v>442</v>
      </c>
      <c r="BH1" s="1" t="s">
        <v>443</v>
      </c>
      <c r="BI1" s="1" t="s">
        <v>444</v>
      </c>
      <c r="BJ1" s="1" t="s">
        <v>445</v>
      </c>
      <c r="BK1" s="1" t="s">
        <v>446</v>
      </c>
      <c r="BL1" s="1" t="s">
        <v>447</v>
      </c>
      <c r="BM1" s="1" t="s">
        <v>448</v>
      </c>
      <c r="BN1" s="1" t="s">
        <v>449</v>
      </c>
      <c r="BO1" s="1" t="s">
        <v>450</v>
      </c>
    </row>
    <row r="2">
      <c r="A2" s="1" t="s">
        <v>451</v>
      </c>
      <c r="B2" s="1">
        <v>1.0</v>
      </c>
      <c r="C2" s="1">
        <v>300.0</v>
      </c>
      <c r="D2" s="1">
        <v>7200.0</v>
      </c>
      <c r="E2" s="2">
        <f t="shared" ref="E2:E19" si="1">SUM(H2:ABF2)-C2</f>
        <v>-147.476</v>
      </c>
      <c r="F2" s="2">
        <f t="shared" ref="F2:F19" si="2">E2/(D2/3600)</f>
        <v>-73.738</v>
      </c>
      <c r="G2" s="1">
        <v>7.0</v>
      </c>
      <c r="H2" s="2" t="str">
        <f>IFERROR(__xludf.DUMMYFUNCTION("MAP(OFFSET($H$1,0,0,1,G2*2),LAMBDA(c,IF(ISEVEN(COLUMN(c)),INDIRECT(ADDRESS(REGEXEXTRACT(c,""\d+"")+$B2,14,1,TRUE,""Market"")),INDIRECT(ADDRESS(REGEXEXTRACT(c,""\d+"")+$B2,15,3,,""Market""))*(INDIRECT(ADDRESS(REGEXEXTRACT(c,""\d+"")+$B2,17,3,,""Market""))*"&amp;"(1+$B$27/100)))))"),"Improved Fishing Rod Recipe")</f>
        <v>Improved Fishing Rod Recipe</v>
      </c>
      <c r="I2" s="2">
        <f>IFERROR(__xludf.DUMMYFUNCTION("""COMPUTED_VALUE"""),20.4)</f>
        <v>20.4</v>
      </c>
      <c r="J2" s="2" t="str">
        <f>IFERROR(__xludf.DUMMYFUNCTION("""COMPUTED_VALUE"""),"Improved Pickaxe Recipe ")</f>
        <v>Improved Pickaxe Recipe </v>
      </c>
      <c r="K2" s="2">
        <f>IFERROR(__xludf.DUMMYFUNCTION("""COMPUTED_VALUE"""),108.79999999999998)</f>
        <v>108.8</v>
      </c>
      <c r="L2" s="2" t="str">
        <f>IFERROR(__xludf.DUMMYFUNCTION("""COMPUTED_VALUE"""),"Improved Felling axe Recipe ")</f>
        <v>Improved Felling axe Recipe </v>
      </c>
      <c r="M2" s="2">
        <f>IFERROR(__xludf.DUMMYFUNCTION("""COMPUTED_VALUE"""),16.999999999999996)</f>
        <v>17</v>
      </c>
      <c r="N2" s="2" t="str">
        <f>IFERROR(__xludf.DUMMYFUNCTION("""COMPUTED_VALUE"""),"Herculean Strength Elixir Recipe ")</f>
        <v>Herculean Strength Elixir Recipe </v>
      </c>
      <c r="O2" s="2">
        <f>IFERROR(__xludf.DUMMYFUNCTION("""COMPUTED_VALUE"""),1.9039999999999997)</f>
        <v>1.904</v>
      </c>
      <c r="P2" s="2" t="str">
        <f>IFERROR(__xludf.DUMMYFUNCTION("""COMPUTED_VALUE"""),"Bastion Elixir Recipe ")</f>
        <v>Bastion Elixir Recipe </v>
      </c>
      <c r="Q2" s="2">
        <f>IFERROR(__xludf.DUMMYFUNCTION("""COMPUTED_VALUE"""),1.2919999999999998)</f>
        <v>1.292</v>
      </c>
      <c r="R2" s="2" t="str">
        <f>IFERROR(__xludf.DUMMYFUNCTION("""COMPUTED_VALUE"""),"Galeforce Speed Elixir Recipe ")</f>
        <v>Galeforce Speed Elixir Recipe </v>
      </c>
      <c r="S2" s="2">
        <f>IFERROR(__xludf.DUMMYFUNCTION("""COMPUTED_VALUE"""),1.9719999999999998)</f>
        <v>1.972</v>
      </c>
      <c r="T2" s="2" t="str">
        <f>IFERROR(__xludf.DUMMYFUNCTION("""COMPUTED_VALUE"""),"Falcon's Grace Elixir Recipe ")</f>
        <v>Falcon's Grace Elixir Recipe </v>
      </c>
      <c r="U2" s="2">
        <f>IFERROR(__xludf.DUMMYFUNCTION("""COMPUTED_VALUE"""),1.156)</f>
        <v>1.156</v>
      </c>
      <c r="Z2" s="4"/>
      <c r="AA2" s="4"/>
    </row>
    <row r="3">
      <c r="A3" s="1" t="s">
        <v>452</v>
      </c>
      <c r="B3" s="1">
        <f t="shared" ref="B3:B19" si="3">B2+G2</f>
        <v>8</v>
      </c>
      <c r="C3" s="1">
        <v>1200.0</v>
      </c>
      <c r="D3" s="1">
        <f>2*3600+3*60+20</f>
        <v>7400</v>
      </c>
      <c r="E3" s="2">
        <f t="shared" si="1"/>
        <v>-642.26672</v>
      </c>
      <c r="F3" s="2">
        <f t="shared" si="2"/>
        <v>-312.45408</v>
      </c>
      <c r="G3" s="1">
        <v>9.0</v>
      </c>
      <c r="H3" s="2" t="str">
        <f>IFERROR(__xludf.DUMMYFUNCTION("MAP(OFFSET($H$1,0,0,1,G3*2),LAMBDA(c,IF(ISEVEN(COLUMN(c)),INDIRECT(ADDRESS(REGEXEXTRACT(c,""\d+"")+$B3,14,1,TRUE,""Market"")),INDIRECT(ADDRESS(REGEXEXTRACT(c,""\d+"")+$B3,15,3,,""Market""))*(INDIRECT(ADDRESS(REGEXEXTRACT(c,""\d+"")+$B3,17,3,,""Market""))*"&amp;"(1+$B$27/100)))))"),"Rivertamer Recipe ")</f>
        <v>Rivertamer Recipe </v>
      </c>
      <c r="I3" s="2">
        <f>IFERROR(__xludf.DUMMYFUNCTION("""COMPUTED_VALUE"""),44.199999999999996)</f>
        <v>44.2</v>
      </c>
      <c r="J3" s="2" t="str">
        <f>IFERROR(__xludf.DUMMYFUNCTION("""COMPUTED_VALUE"""),"Veinseeker Recipe")</f>
        <v>Veinseeker Recipe</v>
      </c>
      <c r="K3" s="2">
        <f>IFERROR(__xludf.DUMMYFUNCTION("""COMPUTED_VALUE"""),421.59999999999997)</f>
        <v>421.6</v>
      </c>
      <c r="L3" s="2" t="str">
        <f>IFERROR(__xludf.DUMMYFUNCTION("""COMPUTED_VALUE"""),"Timberfall Talon Recipe ")</f>
        <v>Timberfall Talon Recipe </v>
      </c>
      <c r="M3" s="2">
        <f>IFERROR(__xludf.DUMMYFUNCTION("""COMPUTED_VALUE"""),57.79999999999999)</f>
        <v>57.8</v>
      </c>
      <c r="N3" s="2" t="str">
        <f>IFERROR(__xludf.DUMMYFUNCTION("""COMPUTED_VALUE"""),"Protection Potion Recipe ")</f>
        <v>Protection Potion Recipe </v>
      </c>
      <c r="O3" s="2">
        <f>IFERROR(__xludf.DUMMYFUNCTION("""COMPUTED_VALUE"""),10.0572)</f>
        <v>10.0572</v>
      </c>
      <c r="P3" s="2" t="str">
        <f>IFERROR(__xludf.DUMMYFUNCTION("""COMPUTED_VALUE"""),"Felling Essence Recipe ")</f>
        <v>Felling Essence Recipe </v>
      </c>
      <c r="Q3" s="2">
        <f>IFERROR(__xludf.DUMMYFUNCTION("""COMPUTED_VALUE"""),3.0518400000000003)</f>
        <v>3.05184</v>
      </c>
      <c r="R3" s="2" t="str">
        <f>IFERROR(__xludf.DUMMYFUNCTION("""COMPUTED_VALUE"""),"Oreseeker Essence Crystal Recipe ")</f>
        <v>Oreseeker Essence Crystal Recipe </v>
      </c>
      <c r="S3" s="2">
        <f>IFERROR(__xludf.DUMMYFUNCTION("""COMPUTED_VALUE"""),4.43904)</f>
        <v>4.43904</v>
      </c>
      <c r="T3" s="2" t="str">
        <f>IFERROR(__xludf.DUMMYFUNCTION("""COMPUTED_VALUE"""),"Attack Power Potion Recipe ")</f>
        <v>Attack Power Potion Recipe </v>
      </c>
      <c r="U3" s="2">
        <f>IFERROR(__xludf.DUMMYFUNCTION("""COMPUTED_VALUE"""),2.91312)</f>
        <v>2.91312</v>
      </c>
      <c r="V3" s="2" t="str">
        <f>IFERROR(__xludf.DUMMYFUNCTION("""COMPUTED_VALUE"""),"Titan Power Brew Recipe")</f>
        <v>Titan Power Brew Recipe</v>
      </c>
      <c r="W3" s="2">
        <f>IFERROR(__xludf.DUMMYFUNCTION("""COMPUTED_VALUE"""),5.410080000000001)</f>
        <v>5.41008</v>
      </c>
      <c r="X3" s="2" t="str">
        <f>IFERROR(__xludf.DUMMYFUNCTION("""COMPUTED_VALUE"""),"Vortex Brew Recipe ")</f>
        <v>Vortex Brew Recipe </v>
      </c>
      <c r="Y3" s="2">
        <f>IFERROR(__xludf.DUMMYFUNCTION("""COMPUTED_VALUE"""),8.261999999999999)</f>
        <v>8.262</v>
      </c>
      <c r="Z3" s="4"/>
      <c r="AA3" s="4"/>
    </row>
    <row r="4">
      <c r="A4" s="1" t="s">
        <v>453</v>
      </c>
      <c r="B4" s="1">
        <f t="shared" si="3"/>
        <v>17</v>
      </c>
      <c r="C4" s="1">
        <v>2400.0</v>
      </c>
      <c r="D4" s="1">
        <f>2*3600+6*60+40</f>
        <v>7600</v>
      </c>
      <c r="E4" s="2">
        <f t="shared" si="1"/>
        <v>-993.2466</v>
      </c>
      <c r="F4" s="2">
        <f t="shared" si="2"/>
        <v>-470.4852316</v>
      </c>
      <c r="G4" s="1">
        <v>12.0</v>
      </c>
      <c r="H4" s="2" t="str">
        <f>IFERROR(__xludf.DUMMYFUNCTION("MAP(OFFSET($H$1,0,0,1,G4*2),LAMBDA(c,IF(ISEVEN(COLUMN(c)),INDIRECT(ADDRESS(REGEXEXTRACT(c,""\d+"")+$B4,14,1,TRUE,""Market"")),INDIRECT(ADDRESS(REGEXEXTRACT(c,""\d+"")+$B4,15,3,,""Market""))*(INDIRECT(ADDRESS(REGEXEXTRACT(c,""\d+"")+$B4,17,3,,""Market""))*"&amp;"(1+$B$27/100)))))"),"Seasong's Lure Recipe ")</f>
        <v>Seasong's Lure Recipe </v>
      </c>
      <c r="I4" s="2">
        <f>IFERROR(__xludf.DUMMYFUNCTION("""COMPUTED_VALUE"""),197.19999999999996)</f>
        <v>197.2</v>
      </c>
      <c r="J4" s="2" t="str">
        <f>IFERROR(__xludf.DUMMYFUNCTION("""COMPUTED_VALUE"""),"Ironbite Recipe")</f>
        <v>Ironbite Recipe</v>
      </c>
      <c r="K4" s="2">
        <f>IFERROR(__xludf.DUMMYFUNCTION("""COMPUTED_VALUE"""),951.9999999999999)</f>
        <v>952</v>
      </c>
      <c r="L4" s="2" t="str">
        <f>IFERROR(__xludf.DUMMYFUNCTION("""COMPUTED_VALUE"""),"Wildwood Chopper Recipe")</f>
        <v>Wildwood Chopper Recipe</v>
      </c>
      <c r="M4" s="2">
        <f>IFERROR(__xludf.DUMMYFUNCTION("""COMPUTED_VALUE"""),114.91999999999999)</f>
        <v>114.92</v>
      </c>
      <c r="N4" s="2" t="str">
        <f>IFERROR(__xludf.DUMMYFUNCTION("""COMPUTED_VALUE"""),"Fortified Protection Recipe")</f>
        <v>Fortified Protection Recipe</v>
      </c>
      <c r="O4" s="2">
        <f>IFERROR(__xludf.DUMMYFUNCTION("""COMPUTED_VALUE"""),14.108639999999998)</f>
        <v>14.10864</v>
      </c>
      <c r="P4" s="2" t="str">
        <f>IFERROR(__xludf.DUMMYFUNCTION("""COMPUTED_VALUE"""),"Quickstep Essence Recipe")</f>
        <v>Quickstep Essence Recipe</v>
      </c>
      <c r="Q4" s="2">
        <f>IFERROR(__xludf.DUMMYFUNCTION("""COMPUTED_VALUE"""),5.816719999999999)</f>
        <v>5.81672</v>
      </c>
      <c r="R4" s="2" t="str">
        <f>IFERROR(__xludf.DUMMYFUNCTION("""COMPUTED_VALUE"""),"Precision Essence Recipe")</f>
        <v>Precision Essence Recipe</v>
      </c>
      <c r="S4" s="2">
        <f>IFERROR(__xludf.DUMMYFUNCTION("""COMPUTED_VALUE"""),5.44544)</f>
        <v>5.44544</v>
      </c>
      <c r="T4" s="2" t="str">
        <f>IFERROR(__xludf.DUMMYFUNCTION("""COMPUTED_VALUE"""),"Merfolk Essence Recipe")</f>
        <v>Merfolk Essence Recipe</v>
      </c>
      <c r="U4" s="2">
        <f>IFERROR(__xludf.DUMMYFUNCTION("""COMPUTED_VALUE"""),34.343399999999995)</f>
        <v>34.3434</v>
      </c>
      <c r="V4" s="2" t="str">
        <f>IFERROR(__xludf.DUMMYFUNCTION("""COMPUTED_VALUE"""),"Molten Core Tonic Recipe")</f>
        <v>Molten Core Tonic Recipe</v>
      </c>
      <c r="W4" s="2">
        <f>IFERROR(__xludf.DUMMYFUNCTION("""COMPUTED_VALUE"""),28.559999999999995)</f>
        <v>28.56</v>
      </c>
      <c r="X4" s="2" t="str">
        <f>IFERROR(__xludf.DUMMYFUNCTION("""COMPUTED_VALUE"""),"Spicefinder Essence Crystal Recipe")</f>
        <v>Spicefinder Essence Crystal Recipe</v>
      </c>
      <c r="Y4" s="2">
        <f>IFERROR(__xludf.DUMMYFUNCTION("""COMPUTED_VALUE"""),19.230399999999996)</f>
        <v>19.2304</v>
      </c>
      <c r="Z4" s="4" t="str">
        <f>IFERROR(__xludf.DUMMYFUNCTION("""COMPUTED_VALUE"""),"Bulwark Brew Recipe")</f>
        <v>Bulwark Brew Recipe</v>
      </c>
      <c r="AA4" s="4">
        <f>IFERROR(__xludf.DUMMYFUNCTION("""COMPUTED_VALUE"""),14.041999999999996)</f>
        <v>14.042</v>
      </c>
      <c r="AB4" s="2" t="str">
        <f>IFERROR(__xludf.DUMMYFUNCTION("""COMPUTED_VALUE"""),"Bladeburst Elixir Recipe")</f>
        <v>Bladeburst Elixir Recipe</v>
      </c>
      <c r="AC4" s="2">
        <f>IFERROR(__xludf.DUMMYFUNCTION("""COMPUTED_VALUE"""),9.472399999999999)</f>
        <v>9.4724</v>
      </c>
      <c r="AD4" s="2" t="str">
        <f>IFERROR(__xludf.DUMMYFUNCTION("""COMPUTED_VALUE"""),"Ironclad Tonic Recipe")</f>
        <v>Ironclad Tonic Recipe</v>
      </c>
      <c r="AE4" s="2">
        <f>IFERROR(__xludf.DUMMYFUNCTION("""COMPUTED_VALUE"""),11.614399999999998)</f>
        <v>11.6144</v>
      </c>
    </row>
    <row r="5">
      <c r="A5" s="1" t="s">
        <v>454</v>
      </c>
      <c r="B5" s="1">
        <f t="shared" si="3"/>
        <v>29</v>
      </c>
      <c r="C5" s="1">
        <v>3600.0</v>
      </c>
      <c r="D5" s="1">
        <f>2*3600+10*60</f>
        <v>7800</v>
      </c>
      <c r="E5" s="2">
        <f t="shared" si="1"/>
        <v>130.929344</v>
      </c>
      <c r="F5" s="2">
        <f t="shared" si="2"/>
        <v>60.428928</v>
      </c>
      <c r="G5" s="1">
        <v>9.0</v>
      </c>
      <c r="H5" s="2" t="str">
        <f>IFERROR(__xludf.DUMMYFUNCTION("MAP(OFFSET($H$1,0,0,1,G5*2),LAMBDA(c,IF(ISEVEN(COLUMN(c)),INDIRECT(ADDRESS(REGEXEXTRACT(c,""\d+"")+$B5,14,1,TRUE,""Market"")),INDIRECT(ADDRESS(REGEXEXTRACT(c,""\d+"")+$B5,15,3,,""Market""))*(INDIRECT(ADDRESS(REGEXEXTRACT(c,""\d+"")+$B5,17,3,,""Market""))*"&amp;"(1+$B$27/100)))))"),"Moonshimmer Hook Recipe")</f>
        <v>Moonshimmer Hook Recipe</v>
      </c>
      <c r="I5" s="2">
        <f>IFERROR(__xludf.DUMMYFUNCTION("""COMPUTED_VALUE"""),1019.9999999999999)</f>
        <v>1020</v>
      </c>
      <c r="J5" s="2" t="str">
        <f>IFERROR(__xludf.DUMMYFUNCTION("""COMPUTED_VALUE"""),"Boulder Breaker Recipe")</f>
        <v>Boulder Breaker Recipe</v>
      </c>
      <c r="K5" s="2">
        <f>IFERROR(__xludf.DUMMYFUNCTION("""COMPUTED_VALUE"""),2243.9999999999995)</f>
        <v>2244</v>
      </c>
      <c r="L5" s="2" t="str">
        <f>IFERROR(__xludf.DUMMYFUNCTION("""COMPUTED_VALUE"""),"Leafblade Recipe")</f>
        <v>Leafblade Recipe</v>
      </c>
      <c r="M5" s="2">
        <f>IFERROR(__xludf.DUMMYFUNCTION("""COMPUTED_VALUE"""),407.8639999999999)</f>
        <v>407.864</v>
      </c>
      <c r="N5" s="2" t="str">
        <f>IFERROR(__xludf.DUMMYFUNCTION("""COMPUTED_VALUE"""),"Impenetrable Essence Recipe")</f>
        <v>Impenetrable Essence Recipe</v>
      </c>
      <c r="O5" s="2">
        <f>IFERROR(__xludf.DUMMYFUNCTION("""COMPUTED_VALUE"""),7.446815999999999)</f>
        <v>7.446816</v>
      </c>
      <c r="P5" s="2" t="str">
        <f>IFERROR(__xludf.DUMMYFUNCTION("""COMPUTED_VALUE"""),"Windrider Essence Recipe")</f>
        <v>Windrider Essence Recipe</v>
      </c>
      <c r="Q5" s="2">
        <f>IFERROR(__xludf.DUMMYFUNCTION("""COMPUTED_VALUE"""),7.5741119999999995)</f>
        <v>7.574112</v>
      </c>
      <c r="R5" s="2" t="str">
        <f>IFERROR(__xludf.DUMMYFUNCTION("""COMPUTED_VALUE"""),"Acrobatic's Essence Recipe")</f>
        <v>Acrobatic's Essence Recipe</v>
      </c>
      <c r="S5" s="2">
        <f>IFERROR(__xludf.DUMMYFUNCTION("""COMPUTED_VALUE"""),8.274239999999999)</f>
        <v>8.27424</v>
      </c>
      <c r="T5" s="2" t="str">
        <f>IFERROR(__xludf.DUMMYFUNCTION("""COMPUTED_VALUE"""),"Strike Essence Recipe")</f>
        <v>Strike Essence Recipe</v>
      </c>
      <c r="U5" s="2">
        <f>IFERROR(__xludf.DUMMYFUNCTION("""COMPUTED_VALUE"""),8.719776)</f>
        <v>8.719776</v>
      </c>
      <c r="V5" s="2" t="str">
        <f>IFERROR(__xludf.DUMMYFUNCTION("""COMPUTED_VALUE"""),"Yggdrasil Nectar Recipe")</f>
        <v>Yggdrasil Nectar Recipe</v>
      </c>
      <c r="W5" s="2">
        <f>IFERROR(__xludf.DUMMYFUNCTION("""COMPUTED_VALUE"""),7.637759999999999)</f>
        <v>7.63776</v>
      </c>
      <c r="X5" s="2" t="str">
        <f>IFERROR(__xludf.DUMMYFUNCTION("""COMPUTED_VALUE"""),"Earthcore Infusion Recipe")</f>
        <v>Earthcore Infusion Recipe</v>
      </c>
      <c r="Y5" s="2">
        <f>IFERROR(__xludf.DUMMYFUNCTION("""COMPUTED_VALUE"""),19.41264)</f>
        <v>19.41264</v>
      </c>
      <c r="Z5" s="4"/>
      <c r="AA5" s="4"/>
    </row>
    <row r="6">
      <c r="A6" s="1" t="s">
        <v>455</v>
      </c>
      <c r="B6" s="1">
        <f t="shared" si="3"/>
        <v>38</v>
      </c>
      <c r="C6" s="1">
        <v>5000.0</v>
      </c>
      <c r="D6" s="1">
        <f>2*3600+13*60+20</f>
        <v>8000</v>
      </c>
      <c r="E6" s="2">
        <f t="shared" si="1"/>
        <v>-3220.360576</v>
      </c>
      <c r="F6" s="2">
        <f t="shared" si="2"/>
        <v>-1449.162259</v>
      </c>
      <c r="G6" s="1">
        <v>20.0</v>
      </c>
      <c r="H6" s="2" t="str">
        <f>IFERROR(__xludf.DUMMYFUNCTION("MAP(OFFSET($H$1,0,0,1,G6*2),LAMBDA(c,IF(ISEVEN(COLUMN(c)),INDIRECT(ADDRESS(REGEXEXTRACT(c,""\d+"")+$B6,14,1,TRUE,""Market"")),INDIRECT(ADDRESS(REGEXEXTRACT(c,""\d+"")+$B6,15,3,,""Market""))*(INDIRECT(ADDRESS(REGEXEXTRACT(c,""\d+"")+$B6,17,3,,""Market""))*"&amp;"(1+$B$27/100)))))"),"Shadowbane Recipe")</f>
        <v>Shadowbane Recipe</v>
      </c>
      <c r="I6" s="2">
        <f>IFERROR(__xludf.DUMMYFUNCTION("""COMPUTED_VALUE"""),39.276799999999994)</f>
        <v>39.2768</v>
      </c>
      <c r="J6" s="2" t="str">
        <f>IFERROR(__xludf.DUMMYFUNCTION("""COMPUTED_VALUE"""),"Soulrender Recipe")</f>
        <v>Soulrender Recipe</v>
      </c>
      <c r="K6" s="2">
        <f>IFERROR(__xludf.DUMMYFUNCTION("""COMPUTED_VALUE"""),43.669599999999996)</f>
        <v>43.6696</v>
      </c>
      <c r="L6" s="2" t="str">
        <f>IFERROR(__xludf.DUMMYFUNCTION("""COMPUTED_VALUE"""),"Shadowstrike Recipe")</f>
        <v>Shadowstrike Recipe</v>
      </c>
      <c r="M6" s="2">
        <f>IFERROR(__xludf.DUMMYFUNCTION("""COMPUTED_VALUE"""),16.2928)</f>
        <v>16.2928</v>
      </c>
      <c r="N6" s="2" t="str">
        <f>IFERROR(__xludf.DUMMYFUNCTION("""COMPUTED_VALUE"""),"Venomfang Recipe")</f>
        <v>Venomfang Recipe</v>
      </c>
      <c r="O6" s="2">
        <f>IFERROR(__xludf.DUMMYFUNCTION("""COMPUTED_VALUE"""),15.2456)</f>
        <v>15.2456</v>
      </c>
      <c r="P6" s="2" t="str">
        <f>IFERROR(__xludf.DUMMYFUNCTION("""COMPUTED_VALUE"""),"Whisperwind Bow Recipe")</f>
        <v>Whisperwind Bow Recipe</v>
      </c>
      <c r="Q6" s="2">
        <f>IFERROR(__xludf.DUMMYFUNCTION("""COMPUTED_VALUE"""),24.208)</f>
        <v>24.208</v>
      </c>
      <c r="R6" s="2" t="str">
        <f>IFERROR(__xludf.DUMMYFUNCTION("""COMPUTED_VALUE"""),"Stormcaster Recipe")</f>
        <v>Stormcaster Recipe</v>
      </c>
      <c r="S6" s="2">
        <f>IFERROR(__xludf.DUMMYFUNCTION("""COMPUTED_VALUE"""),23.256)</f>
        <v>23.256</v>
      </c>
      <c r="T6" s="2" t="str">
        <f>IFERROR(__xludf.DUMMYFUNCTION("""COMPUTED_VALUE"""),"Radiant Crest Recipe")</f>
        <v>Radiant Crest Recipe</v>
      </c>
      <c r="U6" s="2">
        <f>IFERROR(__xludf.DUMMYFUNCTION("""COMPUTED_VALUE"""),40.7728)</f>
        <v>40.7728</v>
      </c>
      <c r="V6" s="2" t="str">
        <f>IFERROR(__xludf.DUMMYFUNCTION("""COMPUTED_VALUE"""),"Shadow Helm Recipe")</f>
        <v>Shadow Helm Recipe</v>
      </c>
      <c r="W6" s="2">
        <f>IFERROR(__xludf.DUMMYFUNCTION("""COMPUTED_VALUE"""),33.592)</f>
        <v>33.592</v>
      </c>
      <c r="X6" s="2" t="str">
        <f>IFERROR(__xludf.DUMMYFUNCTION("""COMPUTED_VALUE"""),"Ironclad Gauntlets Recipe")</f>
        <v>Ironclad Gauntlets Recipe</v>
      </c>
      <c r="Y6" s="2">
        <f>IFERROR(__xludf.DUMMYFUNCTION("""COMPUTED_VALUE"""),48.959999999999994)</f>
        <v>48.96</v>
      </c>
      <c r="Z6" s="4" t="str">
        <f>IFERROR(__xludf.DUMMYFUNCTION("""COMPUTED_VALUE"""),"Stormguard Plate Recipe")</f>
        <v>Stormguard Plate Recipe</v>
      </c>
      <c r="AA6" s="4">
        <f>IFERROR(__xludf.DUMMYFUNCTION("""COMPUTED_VALUE"""),24.4528)</f>
        <v>24.4528</v>
      </c>
      <c r="AB6" s="2" t="str">
        <f>IFERROR(__xludf.DUMMYFUNCTION("""COMPUTED_VALUE"""),"Dragonheart Plate Recipe")</f>
        <v>Dragonheart Plate Recipe</v>
      </c>
      <c r="AC6" s="2">
        <f>IFERROR(__xludf.DUMMYFUNCTION("""COMPUTED_VALUE"""),74.62592)</f>
        <v>74.62592</v>
      </c>
      <c r="AD6" s="2" t="str">
        <f>IFERROR(__xludf.DUMMYFUNCTION("""COMPUTED_VALUE"""),"Stormstrider Greaves Recipe")</f>
        <v>Stormstrider Greaves Recipe</v>
      </c>
      <c r="AE6" s="2">
        <f>IFERROR(__xludf.DUMMYFUNCTION("""COMPUTED_VALUE"""),85.67999999999999)</f>
        <v>85.68</v>
      </c>
      <c r="AF6" s="2" t="str">
        <f>IFERROR(__xludf.DUMMYFUNCTION("""COMPUTED_VALUE"""),"Shadowstep Greaves Recipe")</f>
        <v>Shadowstep Greaves Recipe</v>
      </c>
      <c r="AG6" s="2">
        <f>IFERROR(__xludf.DUMMYFUNCTION("""COMPUTED_VALUE"""),95.60799999999999)</f>
        <v>95.608</v>
      </c>
      <c r="AH6" s="2" t="str">
        <f>IFERROR(__xludf.DUMMYFUNCTION("""COMPUTED_VALUE"""),"Swiftwind Boots Recipe")</f>
        <v>Swiftwind Boots Recipe</v>
      </c>
      <c r="AI6" s="2">
        <f>IFERROR(__xludf.DUMMYFUNCTION("""COMPUTED_VALUE"""),32.6128)</f>
        <v>32.6128</v>
      </c>
      <c r="AJ6" s="2" t="str">
        <f>IFERROR(__xludf.DUMMYFUNCTION("""COMPUTED_VALUE"""),"Aegis of the Seraph Recipe")</f>
        <v>Aegis of the Seraph Recipe</v>
      </c>
      <c r="AK6" s="2">
        <f>IFERROR(__xludf.DUMMYFUNCTION("""COMPUTED_VALUE"""),353.5728)</f>
        <v>353.5728</v>
      </c>
      <c r="AL6" s="2" t="str">
        <f>IFERROR(__xludf.DUMMYFUNCTION("""COMPUTED_VALUE"""),"Stormguard Shield Recipe")</f>
        <v>Stormguard Shield Recipe</v>
      </c>
      <c r="AM6" s="2">
        <f>IFERROR(__xludf.DUMMYFUNCTION("""COMPUTED_VALUE"""),361.76)</f>
        <v>361.76</v>
      </c>
      <c r="AN6" s="2" t="str">
        <f>IFERROR(__xludf.DUMMYFUNCTION("""COMPUTED_VALUE"""),"Riverbend Infusion Recipe")</f>
        <v>Riverbend Infusion Recipe</v>
      </c>
      <c r="AO6" s="2">
        <f>IFERROR(__xludf.DUMMYFUNCTION("""COMPUTED_VALUE"""),203.301504)</f>
        <v>203.301504</v>
      </c>
      <c r="AP6" s="2" t="str">
        <f>IFERROR(__xludf.DUMMYFUNCTION("""COMPUTED_VALUE"""),"Tampering Essence Recipe")</f>
        <v>Tampering Essence Recipe</v>
      </c>
      <c r="AQ6" s="2">
        <f>IFERROR(__xludf.DUMMYFUNCTION("""COMPUTED_VALUE"""),262.752)</f>
        <v>262.752</v>
      </c>
      <c r="AR6" s="2" t="str">
        <f>IFERROR(__xludf.DUMMYFUNCTION("""COMPUTED_VALUE"""),"Riverbend Infusion Recipe (Untradable)")</f>
        <v>Riverbend Infusion Recipe (Untradable)</v>
      </c>
      <c r="AS6" s="2">
        <f>IFERROR(__xludf.DUMMYFUNCTION("""COMPUTED_VALUE"""),0.0)</f>
        <v>0</v>
      </c>
      <c r="AT6" s="2" t="str">
        <f>IFERROR(__xludf.DUMMYFUNCTION("""COMPUTED_VALUE"""),"Tampering Essence Recipe (Untradable)")</f>
        <v>Tampering Essence Recipe (Untradable)</v>
      </c>
      <c r="AU6" s="2">
        <f>IFERROR(__xludf.DUMMYFUNCTION("""COMPUTED_VALUE"""),0.0)</f>
        <v>0</v>
      </c>
    </row>
    <row r="7">
      <c r="A7" s="1" t="s">
        <v>456</v>
      </c>
      <c r="B7" s="1">
        <f t="shared" si="3"/>
        <v>58</v>
      </c>
      <c r="C7" s="1">
        <v>6000.0</v>
      </c>
      <c r="D7" s="1">
        <f>2*3600+16*60+40</f>
        <v>8200</v>
      </c>
      <c r="E7" s="2">
        <f t="shared" si="1"/>
        <v>7563.922464</v>
      </c>
      <c r="F7" s="2">
        <f t="shared" si="2"/>
        <v>3320.746448</v>
      </c>
      <c r="G7" s="1">
        <v>24.0</v>
      </c>
      <c r="H7" s="2" t="str">
        <f>IFERROR(__xludf.DUMMYFUNCTION("MAP(OFFSET($H$1,0,0,1,G7*2),LAMBDA(c,IF(ISEVEN(COLUMN(c)),INDIRECT(ADDRESS(REGEXEXTRACT(c,""\d+"")+$B7,14,1,TRUE,""Market"")),INDIRECT(ADDRESS(REGEXEXTRACT(c,""\d+"")+$B7,15,3,,""Market""))*(INDIRECT(ADDRESS(REGEXEXTRACT(c,""\d+"")+$B7,17,3,,""Market""))*"&amp;"(1+$B$27/100)))))"),"Frostbite Recipe")</f>
        <v>Frostbite Recipe</v>
      </c>
      <c r="I7" s="2">
        <f>IFERROR(__xludf.DUMMYFUNCTION("""COMPUTED_VALUE"""),20.808)</f>
        <v>20.808</v>
      </c>
      <c r="J7" s="2" t="str">
        <f>IFERROR(__xludf.DUMMYFUNCTION("""COMPUTED_VALUE"""),"Stormbringer Recipe")</f>
        <v>Stormbringer Recipe</v>
      </c>
      <c r="K7" s="2">
        <f>IFERROR(__xludf.DUMMYFUNCTION("""COMPUTED_VALUE"""),23.827199999999998)</f>
        <v>23.8272</v>
      </c>
      <c r="L7" s="2" t="str">
        <f>IFERROR(__xludf.DUMMYFUNCTION("""COMPUTED_VALUE"""),"Bloodletter Recipe")</f>
        <v>Bloodletter Recipe</v>
      </c>
      <c r="M7" s="2">
        <f>IFERROR(__xludf.DUMMYFUNCTION("""COMPUTED_VALUE"""),15.912)</f>
        <v>15.912</v>
      </c>
      <c r="N7" s="2" t="str">
        <f>IFERROR(__xludf.DUMMYFUNCTION("""COMPUTED_VALUE"""),"Whisperblade Recipe")</f>
        <v>Whisperblade Recipe</v>
      </c>
      <c r="O7" s="2">
        <f>IFERROR(__xludf.DUMMYFUNCTION("""COMPUTED_VALUE"""),10.879999999999999)</f>
        <v>10.88</v>
      </c>
      <c r="P7" s="2" t="str">
        <f>IFERROR(__xludf.DUMMYFUNCTION("""COMPUTED_VALUE"""),"Shadow Shot Recipe")</f>
        <v>Shadow Shot Recipe</v>
      </c>
      <c r="Q7" s="2">
        <f>IFERROR(__xludf.DUMMYFUNCTION("""COMPUTED_VALUE"""),19.559520000000003)</f>
        <v>19.55952</v>
      </c>
      <c r="R7" s="2" t="str">
        <f>IFERROR(__xludf.DUMMYFUNCTION("""COMPUTED_VALUE"""),"Frostbite Shot Recipe")</f>
        <v>Frostbite Shot Recipe</v>
      </c>
      <c r="S7" s="2">
        <f>IFERROR(__xludf.DUMMYFUNCTION("""COMPUTED_VALUE"""),21.759999999999998)</f>
        <v>21.76</v>
      </c>
      <c r="T7" s="2" t="str">
        <f>IFERROR(__xludf.DUMMYFUNCTION("""COMPUTED_VALUE"""),"Frostguard Visage Recipe")</f>
        <v>Frostguard Visage Recipe</v>
      </c>
      <c r="U7" s="2">
        <f>IFERROR(__xludf.DUMMYFUNCTION("""COMPUTED_VALUE"""),16.8912)</f>
        <v>16.8912</v>
      </c>
      <c r="V7" s="2" t="str">
        <f>IFERROR(__xludf.DUMMYFUNCTION("""COMPUTED_VALUE"""),"Sentinel's Gaze Recipe")</f>
        <v>Sentinel's Gaze Recipe</v>
      </c>
      <c r="W7" s="2">
        <f>IFERROR(__xludf.DUMMYFUNCTION("""COMPUTED_VALUE"""),21.759999999999998)</f>
        <v>21.76</v>
      </c>
      <c r="X7" s="2" t="str">
        <f>IFERROR(__xludf.DUMMYFUNCTION("""COMPUTED_VALUE"""),"Dragonfire Grasp Recipe")</f>
        <v>Dragonfire Grasp Recipe</v>
      </c>
      <c r="Y7" s="2">
        <f>IFERROR(__xludf.DUMMYFUNCTION("""COMPUTED_VALUE"""),48.96)</f>
        <v>48.96</v>
      </c>
      <c r="Z7" s="4" t="str">
        <f>IFERROR(__xludf.DUMMYFUNCTION("""COMPUTED_VALUE"""),"Shadowstrike Grips Recipe")</f>
        <v>Shadowstrike Grips Recipe</v>
      </c>
      <c r="AA7" s="4">
        <f>IFERROR(__xludf.DUMMYFUNCTION("""COMPUTED_VALUE"""),24.455520000000003)</f>
        <v>24.45552</v>
      </c>
      <c r="AB7" s="2" t="str">
        <f>IFERROR(__xludf.DUMMYFUNCTION("""COMPUTED_VALUE"""),"Frostbite Gauntlets Recipe")</f>
        <v>Frostbite Gauntlets Recipe</v>
      </c>
      <c r="AC7" s="2">
        <f>IFERROR(__xludf.DUMMYFUNCTION("""COMPUTED_VALUE"""),54.37824)</f>
        <v>54.37824</v>
      </c>
      <c r="AD7" s="2" t="str">
        <f>IFERROR(__xludf.DUMMYFUNCTION("""COMPUTED_VALUE"""),"Shadowcloak Vestments Recipe")</f>
        <v>Shadowcloak Vestments Recipe</v>
      </c>
      <c r="AE7" s="2">
        <f>IFERROR(__xludf.DUMMYFUNCTION("""COMPUTED_VALUE"""),46.512)</f>
        <v>46.512</v>
      </c>
      <c r="AF7" s="2" t="str">
        <f>IFERROR(__xludf.DUMMYFUNCTION("""COMPUTED_VALUE"""),"Frostbite Plate Recipe")</f>
        <v>Frostbite Plate Recipe</v>
      </c>
      <c r="AG7" s="2">
        <f>IFERROR(__xludf.DUMMYFUNCTION("""COMPUTED_VALUE"""),31.007999999999996)</f>
        <v>31.008</v>
      </c>
      <c r="AH7" s="2" t="str">
        <f>IFERROR(__xludf.DUMMYFUNCTION("""COMPUTED_VALUE"""),"Frostbite Legguards Recipe")</f>
        <v>Frostbite Legguards Recipe</v>
      </c>
      <c r="AI7" s="2">
        <f>IFERROR(__xludf.DUMMYFUNCTION("""COMPUTED_VALUE"""),22.032)</f>
        <v>22.032</v>
      </c>
      <c r="AJ7" s="2" t="str">
        <f>IFERROR(__xludf.DUMMYFUNCTION("""COMPUTED_VALUE"""),"Sentinel's Resolve Recipe")</f>
        <v>Sentinel's Resolve Recipe</v>
      </c>
      <c r="AK7" s="2">
        <f>IFERROR(__xludf.DUMMYFUNCTION("""COMPUTED_VALUE"""),20.671999999999997)</f>
        <v>20.672</v>
      </c>
      <c r="AL7" s="2" t="str">
        <f>IFERROR(__xludf.DUMMYFUNCTION("""COMPUTED_VALUE"""),"Shadowstep Footwear Recipe")</f>
        <v>Shadowstep Footwear Recipe</v>
      </c>
      <c r="AM7" s="2">
        <f>IFERROR(__xludf.DUMMYFUNCTION("""COMPUTED_VALUE"""),97.89552)</f>
        <v>97.89552</v>
      </c>
      <c r="AN7" s="2" t="str">
        <f>IFERROR(__xludf.DUMMYFUNCTION("""COMPUTED_VALUE"""),"Soulward Barrier Recipe")</f>
        <v>Soulward Barrier Recipe</v>
      </c>
      <c r="AO7" s="2">
        <f>IFERROR(__xludf.DUMMYFUNCTION("""COMPUTED_VALUE"""),318.24)</f>
        <v>318.24</v>
      </c>
      <c r="AP7" s="2" t="str">
        <f>IFERROR(__xludf.DUMMYFUNCTION("""COMPUTED_VALUE"""),"Hydra's Coil Recipe")</f>
        <v>Hydra's Coil Recipe</v>
      </c>
      <c r="AQ7" s="2">
        <f>IFERROR(__xludf.DUMMYFUNCTION("""COMPUTED_VALUE"""),4243.2)</f>
        <v>4243.2</v>
      </c>
      <c r="AR7" s="2" t="str">
        <f>IFERROR(__xludf.DUMMYFUNCTION("""COMPUTED_VALUE"""),"Earthshaker Recipe")</f>
        <v>Earthshaker Recipe</v>
      </c>
      <c r="AS7" s="2">
        <f>IFERROR(__xludf.DUMMYFUNCTION("""COMPUTED_VALUE"""),6092.799999999999)</f>
        <v>6092.8</v>
      </c>
      <c r="AT7" s="2" t="str">
        <f>IFERROR(__xludf.DUMMYFUNCTION("""COMPUTED_VALUE"""),"Grove Cleaver Recipe")</f>
        <v>Grove Cleaver Recipe</v>
      </c>
      <c r="AU7" s="2">
        <f>IFERROR(__xludf.DUMMYFUNCTION("""COMPUTED_VALUE"""),2312.0)</f>
        <v>2312</v>
      </c>
      <c r="AV7" s="2" t="str">
        <f>IFERROR(__xludf.DUMMYFUNCTION("""COMPUTED_VALUE"""),"Shieldbearer's Infusion Recipe")</f>
        <v>Shieldbearer's Infusion Recipe</v>
      </c>
      <c r="AW7" s="2">
        <f>IFERROR(__xludf.DUMMYFUNCTION("""COMPUTED_VALUE"""),66.099264)</f>
        <v>66.099264</v>
      </c>
      <c r="AX7" s="2" t="str">
        <f>IFERROR(__xludf.DUMMYFUNCTION("""COMPUTED_VALUE"""),"Unyielding Fortitude Recipe")</f>
        <v>Unyielding Fortitude Recipe</v>
      </c>
      <c r="AY7" s="2">
        <f>IFERROR(__xludf.DUMMYFUNCTION("""COMPUTED_VALUE"""),34.272)</f>
        <v>34.272</v>
      </c>
      <c r="AZ7" s="2" t="str">
        <f>IFERROR(__xludf.DUMMYFUNCTION("""COMPUTED_VALUE"""),"Shieldbearer's Infusion Recipe (Untradable)")</f>
        <v>Shieldbearer's Infusion Recipe (Untradable)</v>
      </c>
      <c r="BA7" s="2">
        <f>IFERROR(__xludf.DUMMYFUNCTION("""COMPUTED_VALUE"""),0.0)</f>
        <v>0</v>
      </c>
      <c r="BB7" s="2" t="str">
        <f>IFERROR(__xludf.DUMMYFUNCTION("""COMPUTED_VALUE"""),"Unyielding Fortitude Recipe (Untradable)")</f>
        <v>Unyielding Fortitude Recipe (Untradable)</v>
      </c>
      <c r="BC7" s="2">
        <f>IFERROR(__xludf.DUMMYFUNCTION("""COMPUTED_VALUE"""),0.0)</f>
        <v>0</v>
      </c>
    </row>
    <row r="8">
      <c r="A8" s="1" t="s">
        <v>457</v>
      </c>
      <c r="B8" s="1">
        <f t="shared" si="3"/>
        <v>82</v>
      </c>
      <c r="C8" s="1">
        <v>9000.0</v>
      </c>
      <c r="D8" s="1">
        <f>2*3600+20*60</f>
        <v>8400</v>
      </c>
      <c r="E8" s="2">
        <f t="shared" si="1"/>
        <v>-6816.80968</v>
      </c>
      <c r="F8" s="2">
        <f t="shared" si="2"/>
        <v>-2921.489863</v>
      </c>
      <c r="G8" s="1">
        <v>20.0</v>
      </c>
      <c r="H8" s="2" t="str">
        <f>IFERROR(__xludf.DUMMYFUNCTION("MAP(OFFSET($H$1,0,0,1,G8*2),LAMBDA(c,IF(ISEVEN(COLUMN(c)),INDIRECT(ADDRESS(REGEXEXTRACT(c,""\d+"")+$B8,14,1,TRUE,""Market"")),INDIRECT(ADDRESS(REGEXEXTRACT(c,""\d+"")+$B8,15,3,,""Market""))*(INDIRECT(ADDRESS(REGEXEXTRACT(c,""\d+"")+$B8,17,3,,""Market""))*"&amp;"(1+$B$27/100)))))"),"Doomblade Recipe")</f>
        <v>Doomblade Recipe</v>
      </c>
      <c r="I8" s="2">
        <f>IFERROR(__xludf.DUMMYFUNCTION("""COMPUTED_VALUE"""),173.39999999999998)</f>
        <v>173.4</v>
      </c>
      <c r="J8" s="2" t="str">
        <f>IFERROR(__xludf.DUMMYFUNCTION("""COMPUTED_VALUE"""),"Serpentstrike Recipe")</f>
        <v>Serpentstrike Recipe</v>
      </c>
      <c r="K8" s="2">
        <f>IFERROR(__xludf.DUMMYFUNCTION("""COMPUTED_VALUE"""),22.6304)</f>
        <v>22.6304</v>
      </c>
      <c r="L8" s="2" t="str">
        <f>IFERROR(__xludf.DUMMYFUNCTION("""COMPUTED_VALUE"""),"Serpent's Kiss Recipe")</f>
        <v>Serpent's Kiss Recipe</v>
      </c>
      <c r="M8" s="2">
        <f>IFERROR(__xludf.DUMMYFUNCTION("""COMPUTED_VALUE"""),18.258)</f>
        <v>18.258</v>
      </c>
      <c r="N8" s="2" t="str">
        <f>IFERROR(__xludf.DUMMYFUNCTION("""COMPUTED_VALUE"""),"Moonshadow Recipe")</f>
        <v>Moonshadow Recipe</v>
      </c>
      <c r="O8" s="2">
        <f>IFERROR(__xludf.DUMMYFUNCTION("""COMPUTED_VALUE"""),21.216)</f>
        <v>21.216</v>
      </c>
      <c r="P8" s="2" t="str">
        <f>IFERROR(__xludf.DUMMYFUNCTION("""COMPUTED_VALUE"""),"Serpent's Arrow Recipe")</f>
        <v>Serpent's Arrow Recipe</v>
      </c>
      <c r="Q8" s="2">
        <f>IFERROR(__xludf.DUMMYFUNCTION("""COMPUTED_VALUE"""),16.218)</f>
        <v>16.218</v>
      </c>
      <c r="R8" s="2" t="str">
        <f>IFERROR(__xludf.DUMMYFUNCTION("""COMPUTED_VALUE"""),"Viper Recipe")</f>
        <v>Viper Recipe</v>
      </c>
      <c r="S8" s="2">
        <f>IFERROR(__xludf.DUMMYFUNCTION("""COMPUTED_VALUE"""),22.984)</f>
        <v>22.984</v>
      </c>
      <c r="T8" s="2" t="str">
        <f>IFERROR(__xludf.DUMMYFUNCTION("""COMPUTED_VALUE"""),"Celestial Crown Recipe")</f>
        <v>Celestial Crown Recipe</v>
      </c>
      <c r="U8" s="2">
        <f>IFERROR(__xludf.DUMMYFUNCTION("""COMPUTED_VALUE"""),70.38)</f>
        <v>70.38</v>
      </c>
      <c r="V8" s="2" t="str">
        <f>IFERROR(__xludf.DUMMYFUNCTION("""COMPUTED_VALUE"""),"Emberfire Helm Recipe")</f>
        <v>Emberfire Helm Recipe</v>
      </c>
      <c r="W8" s="2">
        <f>IFERROR(__xludf.DUMMYFUNCTION("""COMPUTED_VALUE"""),49.504000000000005)</f>
        <v>49.504</v>
      </c>
      <c r="X8" s="2" t="str">
        <f>IFERROR(__xludf.DUMMYFUNCTION("""COMPUTED_VALUE"""),"Titan's Embrace Recipe")</f>
        <v>Titan's Embrace Recipe</v>
      </c>
      <c r="Y8" s="2">
        <f>IFERROR(__xludf.DUMMYFUNCTION("""COMPUTED_VALUE"""),61.199999999999996)</f>
        <v>61.2</v>
      </c>
      <c r="Z8" s="4" t="str">
        <f>IFERROR(__xludf.DUMMYFUNCTION("""COMPUTED_VALUE"""),"Celestial Touch Gloves Recipe")</f>
        <v>Celestial Touch Gloves Recipe</v>
      </c>
      <c r="AA8" s="4">
        <f>IFERROR(__xludf.DUMMYFUNCTION("""COMPUTED_VALUE"""),67.16632)</f>
        <v>67.16632</v>
      </c>
      <c r="AB8" s="2" t="str">
        <f>IFERROR(__xludf.DUMMYFUNCTION("""COMPUTED_VALUE"""),"Sentinel's Embrace Recipe")</f>
        <v>Sentinel's Embrace Recipe</v>
      </c>
      <c r="AC8" s="2">
        <f>IFERROR(__xludf.DUMMYFUNCTION("""COMPUTED_VALUE"""),20.3388)</f>
        <v>20.3388</v>
      </c>
      <c r="AD8" s="2" t="str">
        <f>IFERROR(__xludf.DUMMYFUNCTION("""COMPUTED_VALUE"""),"Celestial Striders Recipe")</f>
        <v>Celestial Striders Recipe</v>
      </c>
      <c r="AE8" s="2">
        <f>IFERROR(__xludf.DUMMYFUNCTION("""COMPUTED_VALUE"""),163.2)</f>
        <v>163.2</v>
      </c>
      <c r="AF8" s="2" t="str">
        <f>IFERROR(__xludf.DUMMYFUNCTION("""COMPUTED_VALUE"""),"Frostbite Walkers Recipe")</f>
        <v>Frostbite Walkers Recipe</v>
      </c>
      <c r="AG8" s="2">
        <f>IFERROR(__xludf.DUMMYFUNCTION("""COMPUTED_VALUE"""),61.17959999999999)</f>
        <v>61.1796</v>
      </c>
      <c r="AH8" s="2" t="str">
        <f>IFERROR(__xludf.DUMMYFUNCTION("""COMPUTED_VALUE"""),"Guardian's Stride Recipe")</f>
        <v>Guardian's Stride Recipe</v>
      </c>
      <c r="AI8" s="2">
        <f>IFERROR(__xludf.DUMMYFUNCTION("""COMPUTED_VALUE"""),46.6752)</f>
        <v>46.6752</v>
      </c>
      <c r="AJ8" s="2" t="str">
        <f>IFERROR(__xludf.DUMMYFUNCTION("""COMPUTED_VALUE"""),"Flamebreaker Buckler Recipe")</f>
        <v>Flamebreaker Buckler Recipe</v>
      </c>
      <c r="AK8" s="2">
        <f>IFERROR(__xludf.DUMMYFUNCTION("""COMPUTED_VALUE"""),458.99999999999994)</f>
        <v>459</v>
      </c>
      <c r="AL8" s="2" t="str">
        <f>IFERROR(__xludf.DUMMYFUNCTION("""COMPUTED_VALUE"""),"Shadowbound Ward Recipe")</f>
        <v>Shadowbound Ward Recipe</v>
      </c>
      <c r="AM8" s="2">
        <f>IFERROR(__xludf.DUMMYFUNCTION("""COMPUTED_VALUE"""),322.32)</f>
        <v>322.32</v>
      </c>
      <c r="AN8" s="2" t="str">
        <f>IFERROR(__xludf.DUMMYFUNCTION("""COMPUTED_VALUE"""),"Stoneheart Solution Recipe")</f>
        <v>Stoneheart Solution Recipe</v>
      </c>
      <c r="AO8" s="2">
        <f>IFERROR(__xludf.DUMMYFUNCTION("""COMPUTED_VALUE"""),97.91999999999999)</f>
        <v>97.92</v>
      </c>
      <c r="AP8" s="2" t="str">
        <f>IFERROR(__xludf.DUMMYFUNCTION("""COMPUTED_VALUE"""),"Lightning Sprint Recipe")</f>
        <v>Lightning Sprint Recipe</v>
      </c>
      <c r="AQ8" s="2">
        <f>IFERROR(__xludf.DUMMYFUNCTION("""COMPUTED_VALUE"""),489.5999999999999)</f>
        <v>489.6</v>
      </c>
      <c r="AR8" s="2" t="str">
        <f>IFERROR(__xludf.DUMMYFUNCTION("""COMPUTED_VALUE"""),"Stoneheart Solution Recipe (Untradable)")</f>
        <v>Stoneheart Solution Recipe (Untradable)</v>
      </c>
      <c r="AS8" s="2">
        <f>IFERROR(__xludf.DUMMYFUNCTION("""COMPUTED_VALUE"""),0.0)</f>
        <v>0</v>
      </c>
      <c r="AT8" s="2" t="str">
        <f>IFERROR(__xludf.DUMMYFUNCTION("""COMPUTED_VALUE"""),"Lightning Sprint Recipe (Untradable)")</f>
        <v>Lightning Sprint Recipe (Untradable)</v>
      </c>
      <c r="AU8" s="2">
        <f>IFERROR(__xludf.DUMMYFUNCTION("""COMPUTED_VALUE"""),0.0)</f>
        <v>0</v>
      </c>
    </row>
    <row r="9">
      <c r="A9" s="1" t="s">
        <v>458</v>
      </c>
      <c r="B9" s="1">
        <f t="shared" si="3"/>
        <v>102</v>
      </c>
      <c r="C9" s="1">
        <v>12000.0</v>
      </c>
      <c r="D9" s="1">
        <f>2*3600+23*60+20</f>
        <v>8600</v>
      </c>
      <c r="E9" s="2">
        <f t="shared" si="1"/>
        <v>10139.10408</v>
      </c>
      <c r="F9" s="2">
        <f t="shared" si="2"/>
        <v>4244.276127</v>
      </c>
      <c r="G9" s="1">
        <v>23.0</v>
      </c>
      <c r="H9" s="2" t="str">
        <f>IFERROR(__xludf.DUMMYFUNCTION("MAP(OFFSET($H$1,0,0,1,G9*2),LAMBDA(c,IF(ISEVEN(COLUMN(c)),INDIRECT(ADDRESS(REGEXEXTRACT(c,""\d+"")+$B9,14,1,TRUE,""Market"")),INDIRECT(ADDRESS(REGEXEXTRACT(c,""\d+"")+$B9,15,3,,""Market""))*(INDIRECT(ADDRESS(REGEXEXTRACT(c,""\d+"")+$B9,17,3,,""Market""))*"&amp;"(1+$B$27/100)))))"),"Celestial Edge Recipe")</f>
        <v>Celestial Edge Recipe</v>
      </c>
      <c r="I9" s="2">
        <f>IFERROR(__xludf.DUMMYFUNCTION("""COMPUTED_VALUE"""),40.8)</f>
        <v>40.8</v>
      </c>
      <c r="J9" s="2" t="str">
        <f>IFERROR(__xludf.DUMMYFUNCTION("""COMPUTED_VALUE"""),"Bloodmoon Sword Recipe")</f>
        <v>Bloodmoon Sword Recipe</v>
      </c>
      <c r="K9" s="2">
        <f>IFERROR(__xludf.DUMMYFUNCTION("""COMPUTED_VALUE"""),29.8452)</f>
        <v>29.8452</v>
      </c>
      <c r="L9" s="2" t="str">
        <f>IFERROR(__xludf.DUMMYFUNCTION("""COMPUTED_VALUE"""),"Quickstrike Recipe")</f>
        <v>Quickstrike Recipe</v>
      </c>
      <c r="M9" s="2">
        <f>IFERROR(__xludf.DUMMYFUNCTION("""COMPUTED_VALUE"""),12.716)</f>
        <v>12.716</v>
      </c>
      <c r="N9" s="2" t="str">
        <f>IFERROR(__xludf.DUMMYFUNCTION("""COMPUTED_VALUE"""),"Runeblade Dagger Recipe")</f>
        <v>Runeblade Dagger Recipe</v>
      </c>
      <c r="O9" s="2">
        <f>IFERROR(__xludf.DUMMYFUNCTION("""COMPUTED_VALUE"""),11.968)</f>
        <v>11.968</v>
      </c>
      <c r="P9" s="2" t="str">
        <f>IFERROR(__xludf.DUMMYFUNCTION("""COMPUTED_VALUE"""),"Moonshot Recipe")</f>
        <v>Moonshot Recipe</v>
      </c>
      <c r="Q9" s="2">
        <f>IFERROR(__xludf.DUMMYFUNCTION("""COMPUTED_VALUE"""),9.724)</f>
        <v>9.724</v>
      </c>
      <c r="R9" s="2" t="str">
        <f>IFERROR(__xludf.DUMMYFUNCTION("""COMPUTED_VALUE"""),"Stormsong Recipe")</f>
        <v>Stormsong Recipe</v>
      </c>
      <c r="S9" s="2">
        <f>IFERROR(__xludf.DUMMYFUNCTION("""COMPUTED_VALUE"""),11.8932)</f>
        <v>11.8932</v>
      </c>
      <c r="T9" s="2" t="str">
        <f>IFERROR(__xludf.DUMMYFUNCTION("""COMPUTED_VALUE"""),"Thunder Helm Recipe")</f>
        <v>Thunder Helm Recipe</v>
      </c>
      <c r="U9" s="2">
        <f>IFERROR(__xludf.DUMMYFUNCTION("""COMPUTED_VALUE"""),13.44904)</f>
        <v>13.44904</v>
      </c>
      <c r="V9" s="2" t="str">
        <f>IFERROR(__xludf.DUMMYFUNCTION("""COMPUTED_VALUE"""),"Emberfist Recipe")</f>
        <v>Emberfist Recipe</v>
      </c>
      <c r="W9" s="2">
        <f>IFERROR(__xludf.DUMMYFUNCTION("""COMPUTED_VALUE"""),14.930079999999998)</f>
        <v>14.93008</v>
      </c>
      <c r="X9" s="2" t="str">
        <f>IFERROR(__xludf.DUMMYFUNCTION("""COMPUTED_VALUE"""),"Celestial Radiance Recipe")</f>
        <v>Celestial Radiance Recipe</v>
      </c>
      <c r="Y9" s="2">
        <f>IFERROR(__xludf.DUMMYFUNCTION("""COMPUTED_VALUE"""),57.03839999999999)</f>
        <v>57.0384</v>
      </c>
      <c r="Z9" s="4" t="str">
        <f>IFERROR(__xludf.DUMMYFUNCTION("""COMPUTED_VALUE"""),"Ironbark Cuirass Recipe")</f>
        <v>Ironbark Cuirass Recipe</v>
      </c>
      <c r="AA9" s="4">
        <f>IFERROR(__xludf.DUMMYFUNCTION("""COMPUTED_VALUE"""),29.15704)</f>
        <v>29.15704</v>
      </c>
      <c r="AB9" s="2" t="str">
        <f>IFERROR(__xludf.DUMMYFUNCTION("""COMPUTED_VALUE"""),"Emberfoot Greaves Recipe")</f>
        <v>Emberfoot Greaves Recipe</v>
      </c>
      <c r="AC9" s="2">
        <f>IFERROR(__xludf.DUMMYFUNCTION("""COMPUTED_VALUE"""),16.303679999999996)</f>
        <v>16.30368</v>
      </c>
      <c r="AD9" s="2" t="str">
        <f>IFERROR(__xludf.DUMMYFUNCTION("""COMPUTED_VALUE"""),"Thunderclash Greaves Recipe")</f>
        <v>Thunderclash Greaves Recipe</v>
      </c>
      <c r="AE9" s="2">
        <f>IFERROR(__xludf.DUMMYFUNCTION("""COMPUTED_VALUE"""),112.18504)</f>
        <v>112.18504</v>
      </c>
      <c r="AF9" s="2" t="str">
        <f>IFERROR(__xludf.DUMMYFUNCTION("""COMPUTED_VALUE"""),"Celestial Ascenders Recipe")</f>
        <v>Celestial Ascenders Recipe</v>
      </c>
      <c r="AG9" s="2">
        <f>IFERROR(__xludf.DUMMYFUNCTION("""COMPUTED_VALUE"""),30.991679999999995)</f>
        <v>30.99168</v>
      </c>
      <c r="AH9" s="2" t="str">
        <f>IFERROR(__xludf.DUMMYFUNCTION("""COMPUTED_VALUE"""),"Emberfoot Boots Recipe")</f>
        <v>Emberfoot Boots Recipe</v>
      </c>
      <c r="AI9" s="2">
        <f>IFERROR(__xludf.DUMMYFUNCTION("""COMPUTED_VALUE"""),44.879999999999995)</f>
        <v>44.88</v>
      </c>
      <c r="AJ9" s="2" t="str">
        <f>IFERROR(__xludf.DUMMYFUNCTION("""COMPUTED_VALUE"""),"Frostbite Guard Recipe")</f>
        <v>Frostbite Guard Recipe</v>
      </c>
      <c r="AK9" s="2">
        <f>IFERROR(__xludf.DUMMYFUNCTION("""COMPUTED_VALUE"""),163.2)</f>
        <v>163.2</v>
      </c>
      <c r="AL9" s="2" t="str">
        <f>IFERROR(__xludf.DUMMYFUNCTION("""COMPUTED_VALUE"""),"Sentinel's Bulwark Recipe")</f>
        <v>Sentinel's Bulwark Recipe</v>
      </c>
      <c r="AM9" s="2">
        <f>IFERROR(__xludf.DUMMYFUNCTION("""COMPUTED_VALUE"""),187.0)</f>
        <v>187</v>
      </c>
      <c r="AN9" s="2" t="str">
        <f>IFERROR(__xludf.DUMMYFUNCTION("""COMPUTED_VALUE"""),"Ocean's Whisper Recipe")</f>
        <v>Ocean's Whisper Recipe</v>
      </c>
      <c r="AO9" s="2">
        <f>IFERROR(__xludf.DUMMYFUNCTION("""COMPUTED_VALUE"""),9465.599999999999)</f>
        <v>9465.6</v>
      </c>
      <c r="AP9" s="2" t="str">
        <f>IFERROR(__xludf.DUMMYFUNCTION("""COMPUTED_VALUE"""),"Stone Splinter Recipe")</f>
        <v>Stone Splinter Recipe</v>
      </c>
      <c r="AQ9" s="2">
        <f>IFERROR(__xludf.DUMMYFUNCTION("""COMPUTED_VALUE"""),8241.58368)</f>
        <v>8241.58368</v>
      </c>
      <c r="AR9" s="2" t="str">
        <f>IFERROR(__xludf.DUMMYFUNCTION("""COMPUTED_VALUE"""),"Branchbane Hatchet Recipe")</f>
        <v>Branchbane Hatchet Recipe</v>
      </c>
      <c r="AS9" s="2">
        <f>IFERROR(__xludf.DUMMYFUNCTION("""COMPUTED_VALUE"""),3590.3999999999996)</f>
        <v>3590.4</v>
      </c>
      <c r="AT9" s="2" t="str">
        <f>IFERROR(__xludf.DUMMYFUNCTION("""COMPUTED_VALUE"""),"Twinstrike Elixir Recipe")</f>
        <v>Twinstrike Elixir Recipe</v>
      </c>
      <c r="AU9" s="2">
        <f>IFERROR(__xludf.DUMMYFUNCTION("""COMPUTED_VALUE"""),22.847999999999995)</f>
        <v>22.848</v>
      </c>
      <c r="AV9" s="2" t="str">
        <f>IFERROR(__xludf.DUMMYFUNCTION("""COMPUTED_VALUE"""),"Frenzy Potion Recipe")</f>
        <v>Frenzy Potion Recipe</v>
      </c>
      <c r="AW9" s="2">
        <f>IFERROR(__xludf.DUMMYFUNCTION("""COMPUTED_VALUE"""),32.59103999999999)</f>
        <v>32.59104</v>
      </c>
      <c r="AX9" s="2" t="str">
        <f>IFERROR(__xludf.DUMMYFUNCTION("""COMPUTED_VALUE"""),"Twinstrike Elixir Recipe (Untradable)")</f>
        <v>Twinstrike Elixir Recipe (Untradable)</v>
      </c>
      <c r="AY9" s="2">
        <f>IFERROR(__xludf.DUMMYFUNCTION("""COMPUTED_VALUE"""),0.0)</f>
        <v>0</v>
      </c>
      <c r="AZ9" s="2" t="str">
        <f>IFERROR(__xludf.DUMMYFUNCTION("""COMPUTED_VALUE"""),"Frenzy Potion Recipe (Untradable)")</f>
        <v>Frenzy Potion Recipe (Untradable)</v>
      </c>
      <c r="BA9" s="2">
        <f>IFERROR(__xludf.DUMMYFUNCTION("""COMPUTED_VALUE"""),0.0)</f>
        <v>0</v>
      </c>
    </row>
    <row r="10">
      <c r="A10" s="1" t="s">
        <v>459</v>
      </c>
      <c r="B10" s="1">
        <f t="shared" si="3"/>
        <v>125</v>
      </c>
      <c r="C10" s="1">
        <v>16000.0</v>
      </c>
      <c r="D10" s="1">
        <f>2*3600+26*60+40</f>
        <v>8800</v>
      </c>
      <c r="E10" s="2">
        <f t="shared" si="1"/>
        <v>-9514.7414</v>
      </c>
      <c r="F10" s="2">
        <f t="shared" si="2"/>
        <v>-3892.394209</v>
      </c>
      <c r="G10" s="1">
        <v>20.0</v>
      </c>
      <c r="H10" s="2" t="str">
        <f>IFERROR(__xludf.DUMMYFUNCTION("MAP(OFFSET($H$1,0,0,1,G10*2),LAMBDA(c,IF(ISEVEN(COLUMN(c)),INDIRECT(ADDRESS(REGEXEXTRACT(c,""\d+"")+$B10,14,1,TRUE,""Market"")),INDIRECT(ADDRESS(REGEXEXTRACT(c,""\d+"")+$B10,15,3,,""Market""))*(INDIRECT(ADDRESS(REGEXEXTRACT(c,""\d+"")+$B10,17,3,,""Market"&amp;"""))*(1+$B$27/100)))))"),"Whisperwind Sword Recipe")</f>
        <v>Whisperwind Sword Recipe</v>
      </c>
      <c r="I10" s="2">
        <f>IFERROR(__xludf.DUMMYFUNCTION("""COMPUTED_VALUE"""),44.349599999999995)</f>
        <v>44.3496</v>
      </c>
      <c r="J10" s="2" t="str">
        <f>IFERROR(__xludf.DUMMYFUNCTION("""COMPUTED_VALUE"""),"Voidslayer Recipe")</f>
        <v>Voidslayer Recipe</v>
      </c>
      <c r="K10" s="2">
        <f>IFERROR(__xludf.DUMMYFUNCTION("""COMPUTED_VALUE"""),74.25599999999999)</f>
        <v>74.256</v>
      </c>
      <c r="L10" s="2" t="str">
        <f>IFERROR(__xludf.DUMMYFUNCTION("""COMPUTED_VALUE"""),"Shadowfang Recipe")</f>
        <v>Shadowfang Recipe</v>
      </c>
      <c r="M10" s="2">
        <f>IFERROR(__xludf.DUMMYFUNCTION("""COMPUTED_VALUE"""),182.47799999999998)</f>
        <v>182.478</v>
      </c>
      <c r="N10" s="2" t="str">
        <f>IFERROR(__xludf.DUMMYFUNCTION("""COMPUTED_VALUE"""),"Emberheart Recipe")</f>
        <v>Emberheart Recipe</v>
      </c>
      <c r="O10" s="2">
        <f>IFERROR(__xludf.DUMMYFUNCTION("""COMPUTED_VALUE"""),20.379599999999996)</f>
        <v>20.3796</v>
      </c>
      <c r="P10" s="2" t="str">
        <f>IFERROR(__xludf.DUMMYFUNCTION("""COMPUTED_VALUE"""),"Otto's Mask Recipe")</f>
        <v>Otto's Mask Recipe</v>
      </c>
      <c r="Q10" s="2">
        <f>IFERROR(__xludf.DUMMYFUNCTION("""COMPUTED_VALUE"""),67.9864)</f>
        <v>67.9864</v>
      </c>
      <c r="R10" s="2" t="str">
        <f>IFERROR(__xludf.DUMMYFUNCTION("""COMPUTED_VALUE"""),"Shadowbane Visor Recipe")</f>
        <v>Shadowbane Visor Recipe</v>
      </c>
      <c r="S10" s="2">
        <f>IFERROR(__xludf.DUMMYFUNCTION("""COMPUTED_VALUE"""),147.89999999999998)</f>
        <v>147.9</v>
      </c>
      <c r="T10" s="2" t="str">
        <f>IFERROR(__xludf.DUMMYFUNCTION("""COMPUTED_VALUE"""),"Thunderclap Recipe")</f>
        <v>Thunderclap Recipe</v>
      </c>
      <c r="U10" s="2">
        <f>IFERROR(__xludf.DUMMYFUNCTION("""COMPUTED_VALUE"""),65.26639999999999)</f>
        <v>65.2664</v>
      </c>
      <c r="V10" s="2" t="str">
        <f>IFERROR(__xludf.DUMMYFUNCTION("""COMPUTED_VALUE"""),"Soulgrasp Recipe")</f>
        <v>Soulgrasp Recipe</v>
      </c>
      <c r="W10" s="2">
        <f>IFERROR(__xludf.DUMMYFUNCTION("""COMPUTED_VALUE"""),29.58)</f>
        <v>29.58</v>
      </c>
      <c r="X10" s="2" t="str">
        <f>IFERROR(__xludf.DUMMYFUNCTION("""COMPUTED_VALUE"""),"Flameguard Plate Recipe")</f>
        <v>Flameguard Plate Recipe</v>
      </c>
      <c r="Y10" s="2">
        <f>IFERROR(__xludf.DUMMYFUNCTION("""COMPUTED_VALUE"""),176.7728)</f>
        <v>176.7728</v>
      </c>
      <c r="Z10" s="4" t="str">
        <f>IFERROR(__xludf.DUMMYFUNCTION("""COMPUTED_VALUE"""),"Stormbreaker Mail Recipe")</f>
        <v>Stormbreaker Mail Recipe</v>
      </c>
      <c r="AA10" s="4">
        <f>IFERROR(__xludf.DUMMYFUNCTION("""COMPUTED_VALUE"""),71.39999999999999)</f>
        <v>71.4</v>
      </c>
      <c r="AB10" s="2" t="str">
        <f>IFERROR(__xludf.DUMMYFUNCTION("""COMPUTED_VALUE"""),"Soulforge Legplates Recipe")</f>
        <v>Soulforge Legplates Recipe</v>
      </c>
      <c r="AC10" s="2">
        <f>IFERROR(__xludf.DUMMYFUNCTION("""COMPUTED_VALUE"""),27.2)</f>
        <v>27.2</v>
      </c>
      <c r="AD10" s="2" t="str">
        <f>IFERROR(__xludf.DUMMYFUNCTION("""COMPUTED_VALUE"""),"Shadowbane Greaves Recipe")</f>
        <v>Shadowbane Greaves Recipe</v>
      </c>
      <c r="AE10" s="2">
        <f>IFERROR(__xludf.DUMMYFUNCTION("""COMPUTED_VALUE"""),40.8)</f>
        <v>40.8</v>
      </c>
      <c r="AF10" s="2" t="str">
        <f>IFERROR(__xludf.DUMMYFUNCTION("""COMPUTED_VALUE"""),"Thunderstrike Steps Recipe")</f>
        <v>Thunderstrike Steps Recipe</v>
      </c>
      <c r="AG10" s="2">
        <f>IFERROR(__xludf.DUMMYFUNCTION("""COMPUTED_VALUE"""),61.199999999999996)</f>
        <v>61.2</v>
      </c>
      <c r="AH10" s="2" t="str">
        <f>IFERROR(__xludf.DUMMYFUNCTION("""COMPUTED_VALUE"""),"Soulwalkers Recipe")</f>
        <v>Soulwalkers Recipe</v>
      </c>
      <c r="AI10" s="2">
        <f>IFERROR(__xludf.DUMMYFUNCTION("""COMPUTED_VALUE"""),39.7698)</f>
        <v>39.7698</v>
      </c>
      <c r="AJ10" s="2" t="str">
        <f>IFERROR(__xludf.DUMMYFUNCTION("""COMPUTED_VALUE"""),"Celestial Aegis Recipe")</f>
        <v>Celestial Aegis Recipe</v>
      </c>
      <c r="AK10" s="2">
        <f>IFERROR(__xludf.DUMMYFUNCTION("""COMPUTED_VALUE"""),231.2)</f>
        <v>231.2</v>
      </c>
      <c r="AL10" s="2" t="str">
        <f>IFERROR(__xludf.DUMMYFUNCTION("""COMPUTED_VALUE"""),"Thunderstrike Barrier Recipe")</f>
        <v>Thunderstrike Barrier Recipe</v>
      </c>
      <c r="AM10" s="2">
        <f>IFERROR(__xludf.DUMMYFUNCTION("""COMPUTED_VALUE"""),161.83999999999997)</f>
        <v>161.84</v>
      </c>
      <c r="AN10" s="2" t="str">
        <f>IFERROR(__xludf.DUMMYFUNCTION("""COMPUTED_VALUE"""),"Dragonblood Tonic Recipe")</f>
        <v>Dragonblood Tonic Recipe</v>
      </c>
      <c r="AO10" s="2">
        <f>IFERROR(__xludf.DUMMYFUNCTION("""COMPUTED_VALUE"""),1672.7999999999997)</f>
        <v>1672.8</v>
      </c>
      <c r="AP10" s="2" t="str">
        <f>IFERROR(__xludf.DUMMYFUNCTION("""COMPUTED_VALUE"""),"Gourmet Essence Recipe ")</f>
        <v>Gourmet Essence Recipe </v>
      </c>
      <c r="AQ10" s="2">
        <f>IFERROR(__xludf.DUMMYFUNCTION("""COMPUTED_VALUE"""),3370.0799999999995)</f>
        <v>3370.08</v>
      </c>
      <c r="AR10" s="2" t="str">
        <f>IFERROR(__xludf.DUMMYFUNCTION("""COMPUTED_VALUE"""),"Dragonblood Tonic Recipe (Untradable)")</f>
        <v>Dragonblood Tonic Recipe (Untradable)</v>
      </c>
      <c r="AS10" s="2">
        <f>IFERROR(__xludf.DUMMYFUNCTION("""COMPUTED_VALUE"""),0.0)</f>
        <v>0</v>
      </c>
      <c r="AT10" s="2" t="str">
        <f>IFERROR(__xludf.DUMMYFUNCTION("""COMPUTED_VALUE"""),"Gourmet Essence Recipe (Untradable)")</f>
        <v>Gourmet Essence Recipe (Untradable)</v>
      </c>
      <c r="AU10" s="2">
        <f>IFERROR(__xludf.DUMMYFUNCTION("""COMPUTED_VALUE"""),0.0)</f>
        <v>0</v>
      </c>
    </row>
    <row r="11">
      <c r="A11" s="1" t="s">
        <v>460</v>
      </c>
      <c r="B11" s="1">
        <f t="shared" si="3"/>
        <v>145</v>
      </c>
      <c r="C11" s="1">
        <v>20000.0</v>
      </c>
      <c r="D11" s="1">
        <f>2*3600+30*60+0</f>
        <v>9000</v>
      </c>
      <c r="E11" s="2">
        <f t="shared" si="1"/>
        <v>-9816.67496</v>
      </c>
      <c r="F11" s="2">
        <f t="shared" si="2"/>
        <v>-3926.669984</v>
      </c>
      <c r="G11" s="1">
        <v>20.0</v>
      </c>
      <c r="H11" s="2" t="str">
        <f>IFERROR(__xludf.DUMMYFUNCTION("MAP(OFFSET($H$1,0,0,1,G11*2),LAMBDA(c,IF(ISEVEN(COLUMN(c)),INDIRECT(ADDRESS(REGEXEXTRACT(c,""\d+"")+$B11,14,1,TRUE,""Market"")),INDIRECT(ADDRESS(REGEXEXTRACT(c,""\d+"")+$B11,15,3,,""Market""))*(INDIRECT(ADDRESS(REGEXEXTRACT(c,""\d+"")+$B11,17,3,,""Market"&amp;"""))*(1+$B$27/100)))))"),"Sunfire Recipe")</f>
        <v>Sunfire Recipe</v>
      </c>
      <c r="I11" s="2">
        <f>IFERROR(__xludf.DUMMYFUNCTION("""COMPUTED_VALUE"""),104.44799999999998)</f>
        <v>104.448</v>
      </c>
      <c r="J11" s="2" t="str">
        <f>IFERROR(__xludf.DUMMYFUNCTION("""COMPUTED_VALUE"""),"Flamebrand Recipe")</f>
        <v>Flamebrand Recipe</v>
      </c>
      <c r="K11" s="2">
        <f>IFERROR(__xludf.DUMMYFUNCTION("""COMPUTED_VALUE"""),47.59047999999999)</f>
        <v>47.59048</v>
      </c>
      <c r="L11" s="2" t="str">
        <f>IFERROR(__xludf.DUMMYFUNCTION("""COMPUTED_VALUE"""),"Soulshard Recipe")</f>
        <v>Soulshard Recipe</v>
      </c>
      <c r="M11" s="2">
        <f>IFERROR(__xludf.DUMMYFUNCTION("""COMPUTED_VALUE"""),159.11999999999998)</f>
        <v>159.12</v>
      </c>
      <c r="N11" s="2" t="str">
        <f>IFERROR(__xludf.DUMMYFUNCTION("""COMPUTED_VALUE"""),"Piercer Recipe")</f>
        <v>Piercer Recipe</v>
      </c>
      <c r="O11" s="2">
        <f>IFERROR(__xludf.DUMMYFUNCTION("""COMPUTED_VALUE"""),22.848)</f>
        <v>22.848</v>
      </c>
      <c r="P11" s="2" t="str">
        <f>IFERROR(__xludf.DUMMYFUNCTION("""COMPUTED_VALUE"""),"Sunseeker Recipe")</f>
        <v>Sunseeker Recipe</v>
      </c>
      <c r="Q11" s="2">
        <f>IFERROR(__xludf.DUMMYFUNCTION("""COMPUTED_VALUE"""),122.39999999999998)</f>
        <v>122.4</v>
      </c>
      <c r="R11" s="2" t="str">
        <f>IFERROR(__xludf.DUMMYFUNCTION("""COMPUTED_VALUE"""),"Windborne Casque Recipe")</f>
        <v>Windborne Casque Recipe</v>
      </c>
      <c r="S11" s="2">
        <f>IFERROR(__xludf.DUMMYFUNCTION("""COMPUTED_VALUE"""),38.08)</f>
        <v>38.08</v>
      </c>
      <c r="T11" s="2" t="str">
        <f>IFERROR(__xludf.DUMMYFUNCTION("""COMPUTED_VALUE"""),"Stormbreaker Helm Recipe")</f>
        <v>Stormbreaker Helm Recipe</v>
      </c>
      <c r="U11" s="2">
        <f>IFERROR(__xludf.DUMMYFUNCTION("""COMPUTED_VALUE"""),150.95183999999998)</f>
        <v>150.95184</v>
      </c>
      <c r="V11" s="2" t="str">
        <f>IFERROR(__xludf.DUMMYFUNCTION("""COMPUTED_VALUE"""),"Shadowstep Gauntlets Recipe")</f>
        <v>Shadowstep Gauntlets Recipe</v>
      </c>
      <c r="W11" s="2">
        <f>IFERROR(__xludf.DUMMYFUNCTION("""COMPUTED_VALUE"""),47.59047999999999)</f>
        <v>47.59048</v>
      </c>
      <c r="X11" s="2" t="str">
        <f>IFERROR(__xludf.DUMMYFUNCTION("""COMPUTED_VALUE"""),"Sentinel's Gauntlets Recipe")</f>
        <v>Sentinel's Gauntlets Recipe</v>
      </c>
      <c r="Y11" s="2">
        <f>IFERROR(__xludf.DUMMYFUNCTION("""COMPUTED_VALUE"""),69.35999999999999)</f>
        <v>69.36</v>
      </c>
      <c r="Z11" s="4" t="str">
        <f>IFERROR(__xludf.DUMMYFUNCTION("""COMPUTED_VALUE"""),"Shadeweave Raiment Recipe")</f>
        <v>Shadeweave Raiment Recipe</v>
      </c>
      <c r="AA11" s="4">
        <f>IFERROR(__xludf.DUMMYFUNCTION("""COMPUTED_VALUE"""),185.64)</f>
        <v>185.64</v>
      </c>
      <c r="AB11" s="2" t="str">
        <f>IFERROR(__xludf.DUMMYFUNCTION("""COMPUTED_VALUE"""),"Crystalheart Plate Recipe")</f>
        <v>Crystalheart Plate Recipe</v>
      </c>
      <c r="AC11" s="2">
        <f>IFERROR(__xludf.DUMMYFUNCTION("""COMPUTED_VALUE"""),195.83999999999997)</f>
        <v>195.84</v>
      </c>
      <c r="AD11" s="2" t="str">
        <f>IFERROR(__xludf.DUMMYFUNCTION("""COMPUTED_VALUE"""),"Windrider Greaves Recipe")</f>
        <v>Windrider Greaves Recipe</v>
      </c>
      <c r="AE11" s="2">
        <f>IFERROR(__xludf.DUMMYFUNCTION("""COMPUTED_VALUE"""),142.79999999999998)</f>
        <v>142.8</v>
      </c>
      <c r="AF11" s="2" t="str">
        <f>IFERROR(__xludf.DUMMYFUNCTION("""COMPUTED_VALUE"""),"Stormbreaker Treads Recipe")</f>
        <v>Stormbreaker Treads Recipe</v>
      </c>
      <c r="AG11" s="2">
        <f>IFERROR(__xludf.DUMMYFUNCTION("""COMPUTED_VALUE"""),158.712)</f>
        <v>158.712</v>
      </c>
      <c r="AH11" s="2" t="str">
        <f>IFERROR(__xludf.DUMMYFUNCTION("""COMPUTED_VALUE"""),"Shadowbane Footguards Recipe")</f>
        <v>Shadowbane Footguards Recipe</v>
      </c>
      <c r="AI11" s="2">
        <f>IFERROR(__xludf.DUMMYFUNCTION("""COMPUTED_VALUE"""),142.79047999999997)</f>
        <v>142.79048</v>
      </c>
      <c r="AJ11" s="2" t="str">
        <f>IFERROR(__xludf.DUMMYFUNCTION("""COMPUTED_VALUE"""),"Windrider Striders Recipe")</f>
        <v>Windrider Striders Recipe</v>
      </c>
      <c r="AK11" s="2">
        <f>IFERROR(__xludf.DUMMYFUNCTION("""COMPUTED_VALUE"""),122.39183999999999)</f>
        <v>122.39184</v>
      </c>
      <c r="AL11" s="2" t="str">
        <f>IFERROR(__xludf.DUMMYFUNCTION("""COMPUTED_VALUE"""),"Essenceweave Shield Recipe")</f>
        <v>Essenceweave Shield Recipe</v>
      </c>
      <c r="AM11" s="2">
        <f>IFERROR(__xludf.DUMMYFUNCTION("""COMPUTED_VALUE"""),104.68191999999999)</f>
        <v>104.68192</v>
      </c>
      <c r="AN11" s="2" t="str">
        <f>IFERROR(__xludf.DUMMYFUNCTION("""COMPUTED_VALUE"""),"Wraithbane Essence Recipe")</f>
        <v>Wraithbane Essence Recipe</v>
      </c>
      <c r="AO11" s="2">
        <f>IFERROR(__xludf.DUMMYFUNCTION("""COMPUTED_VALUE"""),5712.0)</f>
        <v>5712</v>
      </c>
      <c r="AP11" s="2" t="str">
        <f>IFERROR(__xludf.DUMMYFUNCTION("""COMPUTED_VALUE"""),"Thunderfury Brew Recipe")</f>
        <v>Thunderfury Brew Recipe</v>
      </c>
      <c r="AQ11" s="2">
        <f>IFERROR(__xludf.DUMMYFUNCTION("""COMPUTED_VALUE"""),2656.08)</f>
        <v>2656.08</v>
      </c>
      <c r="AR11" s="2" t="str">
        <f>IFERROR(__xludf.DUMMYFUNCTION("""COMPUTED_VALUE"""),"Wraithbane Essence Recipe (Untradable)")</f>
        <v>Wraithbane Essence Recipe (Untradable)</v>
      </c>
      <c r="AS11" s="2">
        <f>IFERROR(__xludf.DUMMYFUNCTION("""COMPUTED_VALUE"""),0.0)</f>
        <v>0</v>
      </c>
      <c r="AT11" s="2" t="str">
        <f>IFERROR(__xludf.DUMMYFUNCTION("""COMPUTED_VALUE"""),"Thunderfury Brew Recipe (Untradable)")</f>
        <v>Thunderfury Brew Recipe (Untradable)</v>
      </c>
      <c r="AU11" s="2">
        <f>IFERROR(__xludf.DUMMYFUNCTION("""COMPUTED_VALUE"""),0.0)</f>
        <v>0</v>
      </c>
    </row>
    <row r="12">
      <c r="A12" s="1" t="s">
        <v>461</v>
      </c>
      <c r="B12" s="1">
        <f t="shared" si="3"/>
        <v>165</v>
      </c>
      <c r="C12" s="1">
        <v>26000.0</v>
      </c>
      <c r="D12" s="1">
        <f>2*3600+33*60+20</f>
        <v>9200</v>
      </c>
      <c r="E12" s="2">
        <f t="shared" si="1"/>
        <v>-15642.31548</v>
      </c>
      <c r="F12" s="2">
        <f t="shared" si="2"/>
        <v>-6120.906057</v>
      </c>
      <c r="G12" s="1">
        <v>20.0</v>
      </c>
      <c r="H12" s="2" t="str">
        <f>IFERROR(__xludf.DUMMYFUNCTION("MAP(OFFSET($H$1,0,0,1,G12*2),LAMBDA(c,IF(ISEVEN(COLUMN(c)),INDIRECT(ADDRESS(REGEXEXTRACT(c,""\d+"")+$B12,14,1,TRUE,""Market"")),INDIRECT(ADDRESS(REGEXEXTRACT(c,""\d+"")+$B12,15,3,,""Market""))*(INDIRECT(ADDRESS(REGEXEXTRACT(c,""\d+"")+$B12,17,3,,""Market"&amp;"""))*(1+$B$27/100)))))"),"Thunderstrike Recipe")</f>
        <v>Thunderstrike Recipe</v>
      </c>
      <c r="I12" s="2">
        <f>IFERROR(__xludf.DUMMYFUNCTION("""COMPUTED_VALUE"""),284.24)</f>
        <v>284.24</v>
      </c>
      <c r="J12" s="2" t="str">
        <f>IFERROR(__xludf.DUMMYFUNCTION("""COMPUTED_VALUE"""),"Nightfall Sword Recipe")</f>
        <v>Nightfall Sword Recipe</v>
      </c>
      <c r="K12" s="2">
        <f>IFERROR(__xludf.DUMMYFUNCTION("""COMPUTED_VALUE"""),236.84400000000002)</f>
        <v>236.844</v>
      </c>
      <c r="L12" s="2" t="str">
        <f>IFERROR(__xludf.DUMMYFUNCTION("""COMPUTED_VALUE"""),"Night's Whisper Recipe")</f>
        <v>Night's Whisper Recipe</v>
      </c>
      <c r="M12" s="2">
        <f>IFERROR(__xludf.DUMMYFUNCTION("""COMPUTED_VALUE"""),22.43252)</f>
        <v>22.43252</v>
      </c>
      <c r="N12" s="2" t="str">
        <f>IFERROR(__xludf.DUMMYFUNCTION("""COMPUTED_VALUE"""),"Eclipse Recipe")</f>
        <v>Eclipse Recipe</v>
      </c>
      <c r="O12" s="2">
        <f>IFERROR(__xludf.DUMMYFUNCTION("""COMPUTED_VALUE"""),26.928)</f>
        <v>26.928</v>
      </c>
      <c r="P12" s="2" t="str">
        <f>IFERROR(__xludf.DUMMYFUNCTION("""COMPUTED_VALUE"""),"Thundershot Recipe")</f>
        <v>Thundershot Recipe</v>
      </c>
      <c r="Q12" s="2">
        <f>IFERROR(__xludf.DUMMYFUNCTION("""COMPUTED_VALUE"""),187.0)</f>
        <v>187</v>
      </c>
      <c r="R12" s="2" t="str">
        <f>IFERROR(__xludf.DUMMYFUNCTION("""COMPUTED_VALUE"""),"Nightshade Bow Recipe")</f>
        <v>Nightshade Bow Recipe</v>
      </c>
      <c r="S12" s="2">
        <f>IFERROR(__xludf.DUMMYFUNCTION("""COMPUTED_VALUE"""),428.40000000000003)</f>
        <v>428.4</v>
      </c>
      <c r="T12" s="2" t="str">
        <f>IFERROR(__xludf.DUMMYFUNCTION("""COMPUTED_VALUE"""),"Voidwalker Cowl Recipe")</f>
        <v>Voidwalker Cowl Recipe</v>
      </c>
      <c r="U12" s="2">
        <f>IFERROR(__xludf.DUMMYFUNCTION("""COMPUTED_VALUE"""),284.24)</f>
        <v>284.24</v>
      </c>
      <c r="V12" s="2" t="str">
        <f>IFERROR(__xludf.DUMMYFUNCTION("""COMPUTED_VALUE"""),"Lunar Radiance Recipe")</f>
        <v>Lunar Radiance Recipe</v>
      </c>
      <c r="W12" s="2">
        <f>IFERROR(__xludf.DUMMYFUNCTION("""COMPUTED_VALUE"""),244.8)</f>
        <v>244.8</v>
      </c>
      <c r="X12" s="2" t="str">
        <f>IFERROR(__xludf.DUMMYFUNCTION("""COMPUTED_VALUE"""),"Flameguard Gauntlets Recipe")</f>
        <v>Flameguard Gauntlets Recipe</v>
      </c>
      <c r="Y12" s="2">
        <f>IFERROR(__xludf.DUMMYFUNCTION("""COMPUTED_VALUE"""),209.44)</f>
        <v>209.44</v>
      </c>
      <c r="Z12" s="4" t="str">
        <f>IFERROR(__xludf.DUMMYFUNCTION("""COMPUTED_VALUE"""),"Stormbreaker Gauntlets Recipe")</f>
        <v>Stormbreaker Gauntlets Recipe</v>
      </c>
      <c r="AA12" s="4">
        <f>IFERROR(__xludf.DUMMYFUNCTION("""COMPUTED_VALUE"""),336.6)</f>
        <v>336.6</v>
      </c>
      <c r="AB12" s="2" t="str">
        <f>IFERROR(__xludf.DUMMYFUNCTION("""COMPUTED_VALUE"""),"Serpent Scale Recipe")</f>
        <v>Serpent Scale Recipe</v>
      </c>
      <c r="AC12" s="2">
        <f>IFERROR(__xludf.DUMMYFUNCTION("""COMPUTED_VALUE"""),882.64)</f>
        <v>882.64</v>
      </c>
      <c r="AD12" s="2" t="str">
        <f>IFERROR(__xludf.DUMMYFUNCTION("""COMPUTED_VALUE"""),"Phoenix Soulplate Recipe")</f>
        <v>Phoenix Soulplate Recipe</v>
      </c>
      <c r="AE12" s="2">
        <f>IFERROR(__xludf.DUMMYFUNCTION("""COMPUTED_VALUE"""),1071.0)</f>
        <v>1071</v>
      </c>
      <c r="AF12" s="2" t="str">
        <f>IFERROR(__xludf.DUMMYFUNCTION("""COMPUTED_VALUE"""),"Voidwalker Striders Recipe")</f>
        <v>Voidwalker Striders Recipe</v>
      </c>
      <c r="AG12" s="2">
        <f>IFERROR(__xludf.DUMMYFUNCTION("""COMPUTED_VALUE"""),411.4)</f>
        <v>411.4</v>
      </c>
      <c r="AH12" s="2" t="str">
        <f>IFERROR(__xludf.DUMMYFUNCTION("""COMPUTED_VALUE"""),"Stormbreaker Boots Recipe")</f>
        <v>Stormbreaker Boots Recipe</v>
      </c>
      <c r="AI12" s="2">
        <f>IFERROR(__xludf.DUMMYFUNCTION("""COMPUTED_VALUE"""),329.12)</f>
        <v>329.12</v>
      </c>
      <c r="AJ12" s="2" t="str">
        <f>IFERROR(__xludf.DUMMYFUNCTION("""COMPUTED_VALUE"""),"Moonshadow Guard Recipe")</f>
        <v>Moonshadow Guard Recipe</v>
      </c>
      <c r="AK12" s="2">
        <f>IFERROR(__xludf.DUMMYFUNCTION("""COMPUTED_VALUE"""),112.19999999999999)</f>
        <v>112.2</v>
      </c>
      <c r="AL12" s="2" t="str">
        <f>IFERROR(__xludf.DUMMYFUNCTION("""COMPUTED_VALUE"""),"Ashenfire Ward Recipe")</f>
        <v>Ashenfire Ward Recipe</v>
      </c>
      <c r="AM12" s="2">
        <f>IFERROR(__xludf.DUMMYFUNCTION("""COMPUTED_VALUE"""),149.6)</f>
        <v>149.6</v>
      </c>
      <c r="AN12" s="2" t="str">
        <f>IFERROR(__xludf.DUMMYFUNCTION("""COMPUTED_VALUE"""),"Cosmic Tear Recipe")</f>
        <v>Cosmic Tear Recipe</v>
      </c>
      <c r="AO12" s="2">
        <f>IFERROR(__xludf.DUMMYFUNCTION("""COMPUTED_VALUE"""),3712.8)</f>
        <v>3712.8</v>
      </c>
      <c r="AP12" s="2" t="str">
        <f>IFERROR(__xludf.DUMMYFUNCTION("""COMPUTED_VALUE"""),"Elixir of Life Recipe")</f>
        <v>Elixir of Life Recipe</v>
      </c>
      <c r="AQ12" s="2">
        <f>IFERROR(__xludf.DUMMYFUNCTION("""COMPUTED_VALUE"""),1428.0)</f>
        <v>1428</v>
      </c>
      <c r="AR12" s="2" t="str">
        <f>IFERROR(__xludf.DUMMYFUNCTION("""COMPUTED_VALUE"""),"Cosmic Tear Recipe (Untradable)")</f>
        <v>Cosmic Tear Recipe (Untradable)</v>
      </c>
      <c r="AS12" s="2">
        <f>IFERROR(__xludf.DUMMYFUNCTION("""COMPUTED_VALUE"""),0.0)</f>
        <v>0</v>
      </c>
      <c r="AT12" s="2" t="str">
        <f>IFERROR(__xludf.DUMMYFUNCTION("""COMPUTED_VALUE"""),"Elixir of Life Recipe (Untradable)")</f>
        <v>Elixir of Life Recipe (Untradable)</v>
      </c>
      <c r="AU12" s="2">
        <f>IFERROR(__xludf.DUMMYFUNCTION("""COMPUTED_VALUE"""),0.0)</f>
        <v>0</v>
      </c>
    </row>
    <row r="13">
      <c r="A13" s="1" t="s">
        <v>462</v>
      </c>
      <c r="B13" s="1">
        <f t="shared" si="3"/>
        <v>185</v>
      </c>
      <c r="C13" s="1">
        <v>27000.0</v>
      </c>
      <c r="D13" s="1">
        <f>2*3600+36*60+40</f>
        <v>9400</v>
      </c>
      <c r="E13" s="2">
        <f t="shared" si="1"/>
        <v>15475.16518</v>
      </c>
      <c r="F13" s="2">
        <f t="shared" si="2"/>
        <v>5926.659004</v>
      </c>
      <c r="G13" s="1">
        <v>24.0</v>
      </c>
      <c r="H13" s="2" t="str">
        <f>IFERROR(__xludf.DUMMYFUNCTION("MAP(OFFSET($H$1,0,0,1,G13*2),LAMBDA(c,IF(ISEVEN(COLUMN(c)),INDIRECT(ADDRESS(REGEXEXTRACT(c,""\d+"")+$B13,14,1,TRUE,""Market"")),INDIRECT(ADDRESS(REGEXEXTRACT(c,""\d+"")+$B13,15,3,,""Market""))*(INDIRECT(ADDRESS(REGEXEXTRACT(c,""\d+"")+$B13,17,3,,""Market"&amp;"""))*(1+$B$27/100)))))"),"Dawnbreaker Sword Recipe")</f>
        <v>Dawnbreaker Sword Recipe</v>
      </c>
      <c r="I13" s="2">
        <f>IFERROR(__xludf.DUMMYFUNCTION("""COMPUTED_VALUE"""),171.35388)</f>
        <v>171.35388</v>
      </c>
      <c r="J13" s="2" t="str">
        <f>IFERROR(__xludf.DUMMYFUNCTION("""COMPUTED_VALUE"""),"Runeblade Sword Recipe")</f>
        <v>Runeblade Sword Recipe</v>
      </c>
      <c r="K13" s="2">
        <f>IFERROR(__xludf.DUMMYFUNCTION("""COMPUTED_VALUE"""),924.7976879999999)</f>
        <v>924.797688</v>
      </c>
      <c r="L13" s="2" t="str">
        <f>IFERROR(__xludf.DUMMYFUNCTION("""COMPUTED_VALUE"""),"Duskblade Recipe")</f>
        <v>Duskblade Recipe</v>
      </c>
      <c r="M13" s="2">
        <f>IFERROR(__xludf.DUMMYFUNCTION("""COMPUTED_VALUE"""),11.016)</f>
        <v>11.016</v>
      </c>
      <c r="N13" s="2" t="str">
        <f>IFERROR(__xludf.DUMMYFUNCTION("""COMPUTED_VALUE"""),"Silent Reaper Recipe")</f>
        <v>Silent Reaper Recipe</v>
      </c>
      <c r="O13" s="2">
        <f>IFERROR(__xludf.DUMMYFUNCTION("""COMPUTED_VALUE"""),219.64)</f>
        <v>219.64</v>
      </c>
      <c r="P13" s="2" t="str">
        <f>IFERROR(__xludf.DUMMYFUNCTION("""COMPUTED_VALUE"""),"Dawnbreaker Bow Recipe")</f>
        <v>Dawnbreaker Bow Recipe</v>
      </c>
      <c r="Q13" s="2">
        <f>IFERROR(__xludf.DUMMYFUNCTION("""COMPUTED_VALUE"""),416.16)</f>
        <v>416.16</v>
      </c>
      <c r="R13" s="2" t="str">
        <f>IFERROR(__xludf.DUMMYFUNCTION("""COMPUTED_VALUE"""),"Silverthorn Bow Recipe")</f>
        <v>Silverthorn Bow Recipe</v>
      </c>
      <c r="S13" s="2">
        <f>IFERROR(__xludf.DUMMYFUNCTION("""COMPUTED_VALUE"""),1687.7599999999998)</f>
        <v>1687.76</v>
      </c>
      <c r="T13" s="2" t="str">
        <f>IFERROR(__xludf.DUMMYFUNCTION("""COMPUTED_VALUE"""),"Ashenfire Crown Recipe")</f>
        <v>Ashenfire Crown Recipe</v>
      </c>
      <c r="U13" s="2">
        <f>IFERROR(__xludf.DUMMYFUNCTION("""COMPUTED_VALUE"""),407.99592)</f>
        <v>407.99592</v>
      </c>
      <c r="V13" s="2" t="str">
        <f>IFERROR(__xludf.DUMMYFUNCTION("""COMPUTED_VALUE"""),"Nightshade Mask Recipe")</f>
        <v>Nightshade Mask Recipe</v>
      </c>
      <c r="W13" s="2">
        <f>IFERROR(__xludf.DUMMYFUNCTION("""COMPUTED_VALUE"""),376.853688)</f>
        <v>376.853688</v>
      </c>
      <c r="X13" s="2" t="str">
        <f>IFERROR(__xludf.DUMMYFUNCTION("""COMPUTED_VALUE"""),"Voidrend Gauntlets Recipe")</f>
        <v>Voidrend Gauntlets Recipe</v>
      </c>
      <c r="Y13" s="2">
        <f>IFERROR(__xludf.DUMMYFUNCTION("""COMPUTED_VALUE"""),244.8)</f>
        <v>244.8</v>
      </c>
      <c r="Z13" s="4" t="str">
        <f>IFERROR(__xludf.DUMMYFUNCTION("""COMPUTED_VALUE"""),"Windrider Recipe")</f>
        <v>Windrider Recipe</v>
      </c>
      <c r="AA13" s="4">
        <f>IFERROR(__xludf.DUMMYFUNCTION("""COMPUTED_VALUE"""),647.3599999999999)</f>
        <v>647.36</v>
      </c>
      <c r="AB13" s="2" t="str">
        <f>IFERROR(__xludf.DUMMYFUNCTION("""COMPUTED_VALUE"""),"Echosteel Breastplate Recipe")</f>
        <v>Echosteel Breastplate Recipe</v>
      </c>
      <c r="AC13" s="2">
        <f>IFERROR(__xludf.DUMMYFUNCTION("""COMPUTED_VALUE"""),1479.6799999999998)</f>
        <v>1479.68</v>
      </c>
      <c r="AD13" s="2" t="str">
        <f>IFERROR(__xludf.DUMMYFUNCTION("""COMPUTED_VALUE"""),"Lunarweave Leggings Recipe")</f>
        <v>Lunarweave Leggings Recipe</v>
      </c>
      <c r="AE13" s="2">
        <f>IFERROR(__xludf.DUMMYFUNCTION("""COMPUTED_VALUE"""),330.48)</f>
        <v>330.48</v>
      </c>
      <c r="AF13" s="2" t="str">
        <f>IFERROR(__xludf.DUMMYFUNCTION("""COMPUTED_VALUE"""),"Nightshade Greaves Recipe")</f>
        <v>Nightshade Greaves Recipe</v>
      </c>
      <c r="AG13" s="2">
        <f>IFERROR(__xludf.DUMMYFUNCTION("""COMPUTED_VALUE"""),439.28)</f>
        <v>439.28</v>
      </c>
      <c r="AH13" s="2" t="str">
        <f>IFERROR(__xludf.DUMMYFUNCTION("""COMPUTED_VALUE"""),"Voidstep Boots Recipe")</f>
        <v>Voidstep Boots Recipe</v>
      </c>
      <c r="AI13" s="2">
        <f>IFERROR(__xludf.DUMMYFUNCTION("""COMPUTED_VALUE"""),140.148)</f>
        <v>140.148</v>
      </c>
      <c r="AJ13" s="2" t="str">
        <f>IFERROR(__xludf.DUMMYFUNCTION("""COMPUTED_VALUE"""),"Nightshade Boots Recipe")</f>
        <v>Nightshade Boots Recipe</v>
      </c>
      <c r="AK13" s="2">
        <f>IFERROR(__xludf.DUMMYFUNCTION("""COMPUTED_VALUE"""),1965.1999999999998)</f>
        <v>1965.2</v>
      </c>
      <c r="AL13" s="2" t="str">
        <f>IFERROR(__xludf.DUMMYFUNCTION("""COMPUTED_VALUE"""),"Runebound Bulwark Recipe")</f>
        <v>Runebound Bulwark Recipe</v>
      </c>
      <c r="AM13" s="2">
        <f>IFERROR(__xludf.DUMMYFUNCTION("""COMPUTED_VALUE"""),61.2)</f>
        <v>61.2</v>
      </c>
      <c r="AN13" s="2" t="str">
        <f>IFERROR(__xludf.DUMMYFUNCTION("""COMPUTED_VALUE"""),"Shadewalker Bulwark Recipe")</f>
        <v>Shadewalker Bulwark Recipe</v>
      </c>
      <c r="AO13" s="2">
        <f>IFERROR(__xludf.DUMMYFUNCTION("""COMPUTED_VALUE"""),184.95999999999998)</f>
        <v>184.96</v>
      </c>
      <c r="AP13" s="2" t="str">
        <f>IFERROR(__xludf.DUMMYFUNCTION("""COMPUTED_VALUE"""),"Rune-etched Reeler Recipe")</f>
        <v>Rune-etched Reeler Recipe</v>
      </c>
      <c r="AQ13" s="2">
        <f>IFERROR(__xludf.DUMMYFUNCTION("""COMPUTED_VALUE"""),11934.0)</f>
        <v>11934</v>
      </c>
      <c r="AR13" s="2" t="str">
        <f>IFERROR(__xludf.DUMMYFUNCTION("""COMPUTED_VALUE"""),"Corestrike Recipe")</f>
        <v>Corestrike Recipe</v>
      </c>
      <c r="AS13" s="2">
        <f>IFERROR(__xludf.DUMMYFUNCTION("""COMPUTED_VALUE"""),11597.400000000001)</f>
        <v>11597.4</v>
      </c>
      <c r="AT13" s="2" t="str">
        <f>IFERROR(__xludf.DUMMYFUNCTION("""COMPUTED_VALUE"""),"Silvan Splitter Recipe")</f>
        <v>Silvan Splitter Recipe</v>
      </c>
      <c r="AU13" s="2">
        <f>IFERROR(__xludf.DUMMYFUNCTION("""COMPUTED_VALUE"""),5508.0)</f>
        <v>5508</v>
      </c>
      <c r="AV13" s="2" t="str">
        <f>IFERROR(__xludf.DUMMYFUNCTION("""COMPUTED_VALUE"""),"Potion of the Gods Recipe")</f>
        <v>Potion of the Gods Recipe</v>
      </c>
      <c r="AW13" s="2">
        <f>IFERROR(__xludf.DUMMYFUNCTION("""COMPUTED_VALUE"""),3284.4)</f>
        <v>3284.4</v>
      </c>
      <c r="AX13" s="2" t="str">
        <f>IFERROR(__xludf.DUMMYFUNCTION("""COMPUTED_VALUE"""),"Eternal Feast Tonic Recipe")</f>
        <v>Eternal Feast Tonic Recipe</v>
      </c>
      <c r="AY13" s="2">
        <f>IFERROR(__xludf.DUMMYFUNCTION("""COMPUTED_VALUE"""),442.68)</f>
        <v>442.68</v>
      </c>
      <c r="AZ13" s="2" t="str">
        <f>IFERROR(__xludf.DUMMYFUNCTION("""COMPUTED_VALUE"""),"Potion of the Gods Recipe (Untradable)")</f>
        <v>Potion of the Gods Recipe (Untradable)</v>
      </c>
      <c r="BA13" s="2">
        <f>IFERROR(__xludf.DUMMYFUNCTION("""COMPUTED_VALUE"""),0.0)</f>
        <v>0</v>
      </c>
      <c r="BB13" s="2" t="str">
        <f>IFERROR(__xludf.DUMMYFUNCTION("""COMPUTED_VALUE"""),"Eternal Feast Tonic Recipe (Untradable)")</f>
        <v>Eternal Feast Tonic Recipe (Untradable)</v>
      </c>
      <c r="BC13" s="2">
        <f>IFERROR(__xludf.DUMMYFUNCTION("""COMPUTED_VALUE"""),0.0)</f>
        <v>0</v>
      </c>
    </row>
    <row r="14">
      <c r="A14" s="1" t="s">
        <v>463</v>
      </c>
      <c r="B14" s="1">
        <f t="shared" si="3"/>
        <v>209</v>
      </c>
      <c r="C14" s="1">
        <v>30000.0</v>
      </c>
      <c r="D14" s="1">
        <f>2*3600+40*60+0</f>
        <v>9600</v>
      </c>
      <c r="E14" s="2">
        <f t="shared" si="1"/>
        <v>-3699.912</v>
      </c>
      <c r="F14" s="2">
        <f t="shared" si="2"/>
        <v>-1387.467</v>
      </c>
      <c r="G14" s="1">
        <v>23.0</v>
      </c>
      <c r="H14" s="2" t="str">
        <f>IFERROR(__xludf.DUMMYFUNCTION("MAP(OFFSET($H$1,0,0,1,G14*2),LAMBDA(c,IF(ISEVEN(COLUMN(c)),INDIRECT(ADDRESS(REGEXEXTRACT(c,""\d+"")+$B14,14,1,TRUE,""Market"")),INDIRECT(ADDRESS(REGEXEXTRACT(c,""\d+"")+$B14,15,3,,""Market""))*(INDIRECT(ADDRESS(REGEXEXTRACT(c,""\d+"")+$B14,17,3,,""Market"&amp;"""))*(1+$B$27/100)))))"),"Starshard Recipe")</f>
        <v>Starshard Recipe</v>
      </c>
      <c r="I14" s="2">
        <f>IFERROR(__xludf.DUMMYFUNCTION("""COMPUTED_VALUE"""),673.2)</f>
        <v>673.2</v>
      </c>
      <c r="J14" s="2" t="str">
        <f>IFERROR(__xludf.DUMMYFUNCTION("""COMPUTED_VALUE"""),"Phoenix Requiem Recipe")</f>
        <v>Phoenix Requiem Recipe</v>
      </c>
      <c r="K14" s="2">
        <f>IFERROR(__xludf.DUMMYFUNCTION("""COMPUTED_VALUE"""),2427.5999999999995)</f>
        <v>2427.6</v>
      </c>
      <c r="L14" s="2" t="str">
        <f>IFERROR(__xludf.DUMMYFUNCTION("""COMPUTED_VALUE"""),"Ghostwalker Recipe")</f>
        <v>Ghostwalker Recipe</v>
      </c>
      <c r="M14" s="2">
        <f>IFERROR(__xludf.DUMMYFUNCTION("""COMPUTED_VALUE"""),48.348000000000006)</f>
        <v>48.348</v>
      </c>
      <c r="N14" s="2" t="str">
        <f>IFERROR(__xludf.DUMMYFUNCTION("""COMPUTED_VALUE"""),"Silvermist Recipe")</f>
        <v>Silvermist Recipe</v>
      </c>
      <c r="O14" s="2">
        <f>IFERROR(__xludf.DUMMYFUNCTION("""COMPUTED_VALUE"""),203.99999999999997)</f>
        <v>204</v>
      </c>
      <c r="P14" s="2" t="str">
        <f>IFERROR(__xludf.DUMMYFUNCTION("""COMPUTED_VALUE"""),"Starshower Recipe")</f>
        <v>Starshower Recipe</v>
      </c>
      <c r="Q14" s="2">
        <f>IFERROR(__xludf.DUMMYFUNCTION("""COMPUTED_VALUE"""),918.0000000000001)</f>
        <v>918</v>
      </c>
      <c r="R14" s="2" t="str">
        <f>IFERROR(__xludf.DUMMYFUNCTION("""COMPUTED_VALUE"""),"Bloodmoon Bow Recipe")</f>
        <v>Bloodmoon Bow Recipe</v>
      </c>
      <c r="S14" s="2">
        <f>IFERROR(__xludf.DUMMYFUNCTION("""COMPUTED_VALUE"""),5099.999999999999)</f>
        <v>5100</v>
      </c>
      <c r="T14" s="2" t="str">
        <f>IFERROR(__xludf.DUMMYFUNCTION("""COMPUTED_VALUE"""),"Verdant Guardian Helm Recipe")</f>
        <v>Verdant Guardian Helm Recipe</v>
      </c>
      <c r="U14" s="2">
        <f>IFERROR(__xludf.DUMMYFUNCTION("""COMPUTED_VALUE"""),1101.6000000000001)</f>
        <v>1101.6</v>
      </c>
      <c r="V14" s="2" t="str">
        <f>IFERROR(__xludf.DUMMYFUNCTION("""COMPUTED_VALUE"""),"Glimmersteel Helm Recipe")</f>
        <v>Glimmersteel Helm Recipe</v>
      </c>
      <c r="W14" s="2">
        <f>IFERROR(__xludf.DUMMYFUNCTION("""COMPUTED_VALUE"""),611.9999999999999)</f>
        <v>612</v>
      </c>
      <c r="X14" s="2" t="str">
        <f>IFERROR(__xludf.DUMMYFUNCTION("""COMPUTED_VALUE"""),"Lunarweave Gloves Recipe")</f>
        <v>Lunarweave Gloves Recipe</v>
      </c>
      <c r="Y14" s="2">
        <f>IFERROR(__xludf.DUMMYFUNCTION("""COMPUTED_VALUE"""),734.4000000000001)</f>
        <v>734.4</v>
      </c>
      <c r="Z14" s="4" t="str">
        <f>IFERROR(__xludf.DUMMYFUNCTION("""COMPUTED_VALUE"""),"Bloodforged Gauntlets Recipe")</f>
        <v>Bloodforged Gauntlets Recipe</v>
      </c>
      <c r="AA14" s="4">
        <f>IFERROR(__xludf.DUMMYFUNCTION("""COMPUTED_VALUE"""),1530.0)</f>
        <v>1530</v>
      </c>
      <c r="AB14" s="2" t="str">
        <f>IFERROR(__xludf.DUMMYFUNCTION("""COMPUTED_VALUE"""),"Grasps of Protection Recipe")</f>
        <v>Grasps of Protection Recipe</v>
      </c>
      <c r="AC14" s="2">
        <f>IFERROR(__xludf.DUMMYFUNCTION("""COMPUTED_VALUE"""),1050.6)</f>
        <v>1050.6</v>
      </c>
      <c r="AD14" s="2" t="str">
        <f>IFERROR(__xludf.DUMMYFUNCTION("""COMPUTED_VALUE"""),"Guardian's Valor Recipe")</f>
        <v>Guardian's Valor Recipe</v>
      </c>
      <c r="AE14" s="2">
        <f>IFERROR(__xludf.DUMMYFUNCTION("""COMPUTED_VALUE"""),2203.2000000000003)</f>
        <v>2203.2</v>
      </c>
      <c r="AF14" s="2" t="str">
        <f>IFERROR(__xludf.DUMMYFUNCTION("""COMPUTED_VALUE"""),"Verdant Chainmail Recipe")</f>
        <v>Verdant Chainmail Recipe</v>
      </c>
      <c r="AG14" s="2">
        <f>IFERROR(__xludf.DUMMYFUNCTION("""COMPUTED_VALUE"""),1223.9999999999998)</f>
        <v>1224</v>
      </c>
      <c r="AH14" s="2" t="str">
        <f>IFERROR(__xludf.DUMMYFUNCTION("""COMPUTED_VALUE"""),"Runebound Shinplates Recipe")</f>
        <v>Runebound Shinplates Recipe</v>
      </c>
      <c r="AI14" s="2">
        <f>IFERROR(__xludf.DUMMYFUNCTION("""COMPUTED_VALUE"""),612.0)</f>
        <v>612</v>
      </c>
      <c r="AJ14" s="2" t="str">
        <f>IFERROR(__xludf.DUMMYFUNCTION("""COMPUTED_VALUE"""),"Glimmersteel Pathguards Recipe")</f>
        <v>Glimmersteel Pathguards Recipe</v>
      </c>
      <c r="AK14" s="2">
        <f>IFERROR(__xludf.DUMMYFUNCTION("""COMPUTED_VALUE"""),1121.9999999999998)</f>
        <v>1122</v>
      </c>
      <c r="AL14" s="2" t="str">
        <f>IFERROR(__xludf.DUMMYFUNCTION("""COMPUTED_VALUE"""),"Ashenfire Boots Recipe")</f>
        <v>Ashenfire Boots Recipe</v>
      </c>
      <c r="AM14" s="2">
        <f>IFERROR(__xludf.DUMMYFUNCTION("""COMPUTED_VALUE"""),489.6)</f>
        <v>489.6</v>
      </c>
      <c r="AN14" s="2" t="str">
        <f>IFERROR(__xludf.DUMMYFUNCTION("""COMPUTED_VALUE"""),"Glimmersteel Boots Recipe")</f>
        <v>Glimmersteel Boots Recipe</v>
      </c>
      <c r="AO14" s="2">
        <f>IFERROR(__xludf.DUMMYFUNCTION("""COMPUTED_VALUE"""),2039.9999999999998)</f>
        <v>2040</v>
      </c>
      <c r="AP14" s="2" t="str">
        <f>IFERROR(__xludf.DUMMYFUNCTION("""COMPUTED_VALUE"""),"Bloodbane Barrier Recipe")</f>
        <v>Bloodbane Barrier Recipe</v>
      </c>
      <c r="AQ14" s="2">
        <f>IFERROR(__xludf.DUMMYFUNCTION("""COMPUTED_VALUE"""),88.74000000000001)</f>
        <v>88.74</v>
      </c>
      <c r="AR14" s="2" t="str">
        <f>IFERROR(__xludf.DUMMYFUNCTION("""COMPUTED_VALUE"""),"Stormbringer Buckler Recipe")</f>
        <v>Stormbringer Buckler Recipe</v>
      </c>
      <c r="AS14" s="2">
        <f>IFERROR(__xludf.DUMMYFUNCTION("""COMPUTED_VALUE"""),407.99999999999994)</f>
        <v>408</v>
      </c>
      <c r="AT14" s="2" t="str">
        <f>IFERROR(__xludf.DUMMYFUNCTION("""COMPUTED_VALUE"""),"Divine Nectar Recipe")</f>
        <v>Divine Nectar Recipe</v>
      </c>
      <c r="AU14" s="2">
        <f>IFERROR(__xludf.DUMMYFUNCTION("""COMPUTED_VALUE"""),856.8)</f>
        <v>856.8</v>
      </c>
      <c r="AV14" s="2" t="str">
        <f>IFERROR(__xludf.DUMMYFUNCTION("""COMPUTED_VALUE"""),"Fallen Star Essence Recipe")</f>
        <v>Fallen Star Essence Recipe</v>
      </c>
      <c r="AW14" s="2">
        <f>IFERROR(__xludf.DUMMYFUNCTION("""COMPUTED_VALUE"""),2856.0)</f>
        <v>2856</v>
      </c>
      <c r="AX14" s="2" t="str">
        <f>IFERROR(__xludf.DUMMYFUNCTION("""COMPUTED_VALUE"""),"Divine Nectar Recipe (Untradable)")</f>
        <v>Divine Nectar Recipe (Untradable)</v>
      </c>
      <c r="AY14" s="2">
        <f>IFERROR(__xludf.DUMMYFUNCTION("""COMPUTED_VALUE"""),0.0)</f>
        <v>0</v>
      </c>
      <c r="AZ14" s="2" t="str">
        <f>IFERROR(__xludf.DUMMYFUNCTION("""COMPUTED_VALUE"""),"Fallen Star Essence Recipe (Untradable)")</f>
        <v>Fallen Star Essence Recipe (Untradable)</v>
      </c>
      <c r="BA14" s="2">
        <f>IFERROR(__xludf.DUMMYFUNCTION("""COMPUTED_VALUE"""),0.0)</f>
        <v>0</v>
      </c>
    </row>
    <row r="15">
      <c r="A15" s="1" t="s">
        <v>464</v>
      </c>
      <c r="B15" s="1">
        <f t="shared" si="3"/>
        <v>232</v>
      </c>
      <c r="C15" s="1">
        <v>33000.0</v>
      </c>
      <c r="D15" s="1">
        <f>2*3600+43*60+20</f>
        <v>9800</v>
      </c>
      <c r="E15" s="2">
        <f t="shared" si="1"/>
        <v>18983.28</v>
      </c>
      <c r="F15" s="2">
        <f t="shared" si="2"/>
        <v>6973.449796</v>
      </c>
      <c r="G15" s="1">
        <v>22.0</v>
      </c>
      <c r="H15" s="2" t="str">
        <f>IFERROR(__xludf.DUMMYFUNCTION("MAP(OFFSET($H$1,0,0,1,G15*2),LAMBDA(c,IF(ISEVEN(COLUMN(c)),INDIRECT(ADDRESS(REGEXEXTRACT(c,""\d+"")+$B15,14,1,TRUE,""Market"")),INDIRECT(ADDRESS(REGEXEXTRACT(c,""\d+"")+$B15,15,3,,""Market""))*(INDIRECT(ADDRESS(REGEXEXTRACT(c,""\d+"")+$B15,17,3,,""Market"&amp;"""))*(1+$B$27/100)))))"),"Grimslayer Recipe")</f>
        <v>Grimslayer Recipe</v>
      </c>
      <c r="I15" s="2">
        <f>IFERROR(__xludf.DUMMYFUNCTION("""COMPUTED_VALUE"""),4352.0)</f>
        <v>4352</v>
      </c>
      <c r="J15" s="2" t="str">
        <f>IFERROR(__xludf.DUMMYFUNCTION("""COMPUTED_VALUE"""),"Death's Embrace Recipe")</f>
        <v>Death's Embrace Recipe</v>
      </c>
      <c r="K15" s="2">
        <f>IFERROR(__xludf.DUMMYFUNCTION("""COMPUTED_VALUE"""),3712.7999999999997)</f>
        <v>3712.8</v>
      </c>
      <c r="L15" s="2" t="str">
        <f>IFERROR(__xludf.DUMMYFUNCTION("""COMPUTED_VALUE"""),"Nightfall Dagger Recipe")</f>
        <v>Nightfall Dagger Recipe</v>
      </c>
      <c r="M15" s="2">
        <f>IFERROR(__xludf.DUMMYFUNCTION("""COMPUTED_VALUE"""),1237.6)</f>
        <v>1237.6</v>
      </c>
      <c r="N15" s="2" t="str">
        <f>IFERROR(__xludf.DUMMYFUNCTION("""COMPUTED_VALUE"""),"Fury Recipe")</f>
        <v>Fury Recipe</v>
      </c>
      <c r="O15" s="2">
        <f>IFERROR(__xludf.DUMMYFUNCTION("""COMPUTED_VALUE"""),2611.2)</f>
        <v>2611.2</v>
      </c>
      <c r="P15" s="2" t="str">
        <f>IFERROR(__xludf.DUMMYFUNCTION("""COMPUTED_VALUE"""),"Death's Touch Recipe")</f>
        <v>Death's Touch Recipe</v>
      </c>
      <c r="Q15" s="2">
        <f>IFERROR(__xludf.DUMMYFUNCTION("""COMPUTED_VALUE"""),3447.5999999999995)</f>
        <v>3447.6</v>
      </c>
      <c r="R15" s="2" t="str">
        <f>IFERROR(__xludf.DUMMYFUNCTION("""COMPUTED_VALUE"""),"Bloodforged Helm Recipe")</f>
        <v>Bloodforged Helm Recipe</v>
      </c>
      <c r="S15" s="2">
        <f>IFERROR(__xludf.DUMMYFUNCTION("""COMPUTED_VALUE"""),2312.0)</f>
        <v>2312</v>
      </c>
      <c r="T15" s="2" t="str">
        <f>IFERROR(__xludf.DUMMYFUNCTION("""COMPUTED_VALUE"""),"Soul Recipe")</f>
        <v>Soul Recipe</v>
      </c>
      <c r="U15" s="2">
        <f>IFERROR(__xludf.DUMMYFUNCTION("""COMPUTED_VALUE"""),3217.7599999999998)</f>
        <v>3217.76</v>
      </c>
      <c r="V15" s="2" t="str">
        <f>IFERROR(__xludf.DUMMYFUNCTION("""COMPUTED_VALUE"""),"Phoenixclaw Gauntlets Recipe")</f>
        <v>Phoenixclaw Gauntlets Recipe</v>
      </c>
      <c r="W15" s="2">
        <f>IFERROR(__xludf.DUMMYFUNCTION("""COMPUTED_VALUE"""),1903.9999999999998)</f>
        <v>1904</v>
      </c>
      <c r="X15" s="2" t="str">
        <f>IFERROR(__xludf.DUMMYFUNCTION("""COMPUTED_VALUE"""),"Gloves of the Protector Recipe")</f>
        <v>Gloves of the Protector Recipe</v>
      </c>
      <c r="Y15" s="2">
        <f>IFERROR(__xludf.DUMMYFUNCTION("""COMPUTED_VALUE"""),2121.6)</f>
        <v>2121.6</v>
      </c>
      <c r="Z15" s="4" t="str">
        <f>IFERROR(__xludf.DUMMYFUNCTION("""COMPUTED_VALUE"""),"Dreadbane Armor Recipe")</f>
        <v>Dreadbane Armor Recipe</v>
      </c>
      <c r="AA15" s="4">
        <f>IFERROR(__xludf.DUMMYFUNCTION("""COMPUTED_VALUE"""),3535.9999999999995)</f>
        <v>3536</v>
      </c>
      <c r="AB15" s="2" t="str">
        <f>IFERROR(__xludf.DUMMYFUNCTION("""COMPUTED_VALUE"""),"Ashenplate Cuirass Recipe")</f>
        <v>Ashenplate Cuirass Recipe</v>
      </c>
      <c r="AC15" s="2">
        <f>IFERROR(__xludf.DUMMYFUNCTION("""COMPUTED_VALUE"""),1767.9999999999998)</f>
        <v>1768</v>
      </c>
      <c r="AD15" s="2" t="str">
        <f>IFERROR(__xludf.DUMMYFUNCTION("""COMPUTED_VALUE"""),"Phoenix Greaves Recipe")</f>
        <v>Phoenix Greaves Recipe</v>
      </c>
      <c r="AE15" s="2">
        <f>IFERROR(__xludf.DUMMYFUNCTION("""COMPUTED_VALUE"""),5439.999999999999)</f>
        <v>5440</v>
      </c>
      <c r="AF15" s="2" t="str">
        <f>IFERROR(__xludf.DUMMYFUNCTION("""COMPUTED_VALUE"""),"Soulshield Legplates Recipe")</f>
        <v>Soulshield Legplates Recipe</v>
      </c>
      <c r="AG15" s="2">
        <f>IFERROR(__xludf.DUMMYFUNCTION("""COMPUTED_VALUE"""),2298.3999999999996)</f>
        <v>2298.4</v>
      </c>
      <c r="AH15" s="2" t="str">
        <f>IFERROR(__xludf.DUMMYFUNCTION("""COMPUTED_VALUE"""),"Verdant Boots Recipe")</f>
        <v>Verdant Boots Recipe</v>
      </c>
      <c r="AI15" s="2">
        <f>IFERROR(__xludf.DUMMYFUNCTION("""COMPUTED_VALUE"""),756.16)</f>
        <v>756.16</v>
      </c>
      <c r="AJ15" s="2" t="str">
        <f>IFERROR(__xludf.DUMMYFUNCTION("""COMPUTED_VALUE"""),"Soulshield Treads Recipe")</f>
        <v>Soulshield Treads Recipe</v>
      </c>
      <c r="AK15" s="2">
        <f>IFERROR(__xludf.DUMMYFUNCTION("""COMPUTED_VALUE"""),2651.9999999999995)</f>
        <v>2652</v>
      </c>
      <c r="AL15" s="2" t="str">
        <f>IFERROR(__xludf.DUMMYFUNCTION("""COMPUTED_VALUE"""),"Phoenixguard Shield Recipe")</f>
        <v>Phoenixguard Shield Recipe</v>
      </c>
      <c r="AM15" s="2">
        <f>IFERROR(__xludf.DUMMYFUNCTION("""COMPUTED_VALUE"""),679.9999999999999)</f>
        <v>680</v>
      </c>
      <c r="AN15" s="2" t="str">
        <f>IFERROR(__xludf.DUMMYFUNCTION("""COMPUTED_VALUE"""),"Ironbark Protector Recipe")</f>
        <v>Ironbark Protector Recipe</v>
      </c>
      <c r="AO15" s="2">
        <f>IFERROR(__xludf.DUMMYFUNCTION("""COMPUTED_VALUE"""),530.4)</f>
        <v>530.4</v>
      </c>
      <c r="AP15" s="2" t="str">
        <f>IFERROR(__xludf.DUMMYFUNCTION("""COMPUTED_VALUE"""),"Arboreal Ender Recipe")</f>
        <v>Arboreal Ender Recipe</v>
      </c>
      <c r="AQ15" s="2">
        <f>IFERROR(__xludf.DUMMYFUNCTION("""COMPUTED_VALUE"""),7071.999999999999)</f>
        <v>7072</v>
      </c>
      <c r="AR15" s="2" t="str">
        <f>IFERROR(__xludf.DUMMYFUNCTION("""COMPUTED_VALUE"""),"Cosmic Nectar Recipe")</f>
        <v>Cosmic Nectar Recipe</v>
      </c>
      <c r="AS15" s="2">
        <f>IFERROR(__xludf.DUMMYFUNCTION("""COMPUTED_VALUE"""),1517.7599999999998)</f>
        <v>1517.76</v>
      </c>
      <c r="AT15" s="2" t="str">
        <f>IFERROR(__xludf.DUMMYFUNCTION("""COMPUTED_VALUE"""),"Guardian's Soul Recipe")</f>
        <v>Guardian's Soul Recipe</v>
      </c>
      <c r="AU15" s="2">
        <f>IFERROR(__xludf.DUMMYFUNCTION("""COMPUTED_VALUE"""),815.9999999999999)</f>
        <v>816</v>
      </c>
      <c r="AV15" s="2" t="str">
        <f>IFERROR(__xludf.DUMMYFUNCTION("""COMPUTED_VALUE"""),"Cosmic Nectar Recipe (Untradable)")</f>
        <v>Cosmic Nectar Recipe (Untradable)</v>
      </c>
      <c r="AW15" s="2">
        <f>IFERROR(__xludf.DUMMYFUNCTION("""COMPUTED_VALUE"""),0.0)</f>
        <v>0</v>
      </c>
      <c r="AX15" s="2" t="str">
        <f>IFERROR(__xludf.DUMMYFUNCTION("""COMPUTED_VALUE"""),"Guardian's Soul Recipe (Untradable)")</f>
        <v>Guardian's Soul Recipe (Untradable)</v>
      </c>
      <c r="AY15" s="2">
        <f>IFERROR(__xludf.DUMMYFUNCTION("""COMPUTED_VALUE"""),0.0)</f>
        <v>0</v>
      </c>
    </row>
    <row r="16">
      <c r="A16" s="1" t="s">
        <v>465</v>
      </c>
      <c r="B16" s="1">
        <f t="shared" si="3"/>
        <v>254</v>
      </c>
      <c r="C16" s="1">
        <v>36000.0</v>
      </c>
      <c r="D16" s="1">
        <f>2*3600+46*60+40</f>
        <v>10000</v>
      </c>
      <c r="E16" s="2">
        <f t="shared" si="1"/>
        <v>6097.168</v>
      </c>
      <c r="F16" s="2">
        <f t="shared" si="2"/>
        <v>2194.98048</v>
      </c>
      <c r="G16" s="1">
        <v>18.0</v>
      </c>
      <c r="H16" s="2" t="str">
        <f>IFERROR(__xludf.DUMMYFUNCTION("MAP(OFFSET($H$1,0,0,1,G16*2),LAMBDA(c,IF(ISEVEN(COLUMN(c)),INDIRECT(ADDRESS(REGEXEXTRACT(c,""\d+"")+$B16,14,1,TRUE,""Market"")),INDIRECT(ADDRESS(REGEXEXTRACT(c,""\d+"")+$B16,15,3,,""Market""))*(INDIRECT(ADDRESS(REGEXEXTRACT(c,""\d+"")+$B16,17,3,,""Market"&amp;"""))*(1+$B$27/100)))))"),"Silverthorn Sword Recipe")</f>
        <v>Silverthorn Sword Recipe</v>
      </c>
      <c r="I16" s="2">
        <f>IFERROR(__xludf.DUMMYFUNCTION("""COMPUTED_VALUE"""),4760.0)</f>
        <v>4760</v>
      </c>
      <c r="J16" s="2" t="str">
        <f>IFERROR(__xludf.DUMMYFUNCTION("""COMPUTED_VALUE"""),"Starglitter Recipe")</f>
        <v>Starglitter Recipe</v>
      </c>
      <c r="K16" s="2">
        <f>IFERROR(__xludf.DUMMYFUNCTION("""COMPUTED_VALUE"""),1223.9999999999998)</f>
        <v>1224</v>
      </c>
      <c r="L16" s="2" t="str">
        <f>IFERROR(__xludf.DUMMYFUNCTION("""COMPUTED_VALUE"""),"Widow's Kiss Recipe")</f>
        <v>Widow's Kiss Recipe</v>
      </c>
      <c r="M16" s="2">
        <f>IFERROR(__xludf.DUMMYFUNCTION("""COMPUTED_VALUE"""),1359.9999999999998)</f>
        <v>1360</v>
      </c>
      <c r="N16" s="2" t="str">
        <f>IFERROR(__xludf.DUMMYFUNCTION("""COMPUTED_VALUE"""),"Grimwood Recipe")</f>
        <v>Grimwood Recipe</v>
      </c>
      <c r="O16" s="2">
        <f>IFERROR(__xludf.DUMMYFUNCTION("""COMPUTED_VALUE"""),4079.9999999999995)</f>
        <v>4080</v>
      </c>
      <c r="P16" s="2" t="str">
        <f>IFERROR(__xludf.DUMMYFUNCTION("""COMPUTED_VALUE"""),"Soulstring Recipe")</f>
        <v>Soulstring Recipe</v>
      </c>
      <c r="Q16" s="2">
        <f>IFERROR(__xludf.DUMMYFUNCTION("""COMPUTED_VALUE"""),1359.9999999999998)</f>
        <v>1360</v>
      </c>
      <c r="R16" s="2" t="str">
        <f>IFERROR(__xludf.DUMMYFUNCTION("""COMPUTED_VALUE"""),"Phoenix Crown Recipe")</f>
        <v>Phoenix Crown Recipe</v>
      </c>
      <c r="S16" s="2">
        <f>IFERROR(__xludf.DUMMYFUNCTION("""COMPUTED_VALUE"""),4691.999999999999)</f>
        <v>4692</v>
      </c>
      <c r="T16" s="2" t="str">
        <f>IFERROR(__xludf.DUMMYFUNCTION("""COMPUTED_VALUE"""),"Whispersong Recipe")</f>
        <v>Whispersong Recipe</v>
      </c>
      <c r="U16" s="2">
        <f>IFERROR(__xludf.DUMMYFUNCTION("""COMPUTED_VALUE"""),4079.9999999999995)</f>
        <v>4080</v>
      </c>
      <c r="V16" s="2" t="str">
        <f>IFERROR(__xludf.DUMMYFUNCTION("""COMPUTED_VALUE"""),"Nightshade Grips Recipe")</f>
        <v>Nightshade Grips Recipe</v>
      </c>
      <c r="W16" s="2">
        <f>IFERROR(__xludf.DUMMYFUNCTION("""COMPUTED_VALUE"""),5099.999999999999)</f>
        <v>5100</v>
      </c>
      <c r="X16" s="2" t="str">
        <f>IFERROR(__xludf.DUMMYFUNCTION("""COMPUTED_VALUE"""),"Sacred Grasp Recipe")</f>
        <v>Sacred Grasp Recipe</v>
      </c>
      <c r="Y16" s="2">
        <f>IFERROR(__xludf.DUMMYFUNCTION("""COMPUTED_VALUE"""),1156.0)</f>
        <v>1156</v>
      </c>
      <c r="Z16" s="4" t="str">
        <f>IFERROR(__xludf.DUMMYFUNCTION("""COMPUTED_VALUE"""),"Soulguard Armor Recipe")</f>
        <v>Soulguard Armor Recipe</v>
      </c>
      <c r="AA16" s="4">
        <f>IFERROR(__xludf.DUMMYFUNCTION("""COMPUTED_VALUE"""),1359.9999999999998)</f>
        <v>1360</v>
      </c>
      <c r="AB16" s="2" t="str">
        <f>IFERROR(__xludf.DUMMYFUNCTION("""COMPUTED_VALUE"""),"Whisperstep Greaves Recipe")</f>
        <v>Whisperstep Greaves Recipe</v>
      </c>
      <c r="AC16" s="2">
        <f>IFERROR(__xludf.DUMMYFUNCTION("""COMPUTED_VALUE"""),1359.9999999999998)</f>
        <v>1360</v>
      </c>
      <c r="AD16" s="2" t="str">
        <f>IFERROR(__xludf.DUMMYFUNCTION("""COMPUTED_VALUE"""),"Whisperwind Boots Recipe")</f>
        <v>Whisperwind Boots Recipe</v>
      </c>
      <c r="AE16" s="2">
        <f>IFERROR(__xludf.DUMMYFUNCTION("""COMPUTED_VALUE"""),1359.9999999999998)</f>
        <v>1360</v>
      </c>
      <c r="AF16" s="2" t="str">
        <f>IFERROR(__xludf.DUMMYFUNCTION("""COMPUTED_VALUE"""),"Soulshield of Redemption Recipe")</f>
        <v>Soulshield of Redemption Recipe</v>
      </c>
      <c r="AG16" s="2">
        <f>IFERROR(__xludf.DUMMYFUNCTION("""COMPUTED_VALUE"""),1733.9999999999998)</f>
        <v>1734</v>
      </c>
      <c r="AH16" s="2" t="str">
        <f>IFERROR(__xludf.DUMMYFUNCTION("""COMPUTED_VALUE"""),"Kraken's Grasp Recipe")</f>
        <v>Kraken's Grasp Recipe</v>
      </c>
      <c r="AI16" s="2">
        <f>IFERROR(__xludf.DUMMYFUNCTION("""COMPUTED_VALUE"""),6799.999999999999)</f>
        <v>6800</v>
      </c>
      <c r="AJ16" s="2" t="str">
        <f>IFERROR(__xludf.DUMMYFUNCTION("""COMPUTED_VALUE"""),"Phoenix Ashes Recipe")</f>
        <v>Phoenix Ashes Recipe</v>
      </c>
      <c r="AK16" s="2">
        <f>IFERROR(__xludf.DUMMYFUNCTION("""COMPUTED_VALUE"""),1044.4799999999998)</f>
        <v>1044.48</v>
      </c>
      <c r="AL16" s="2" t="str">
        <f>IFERROR(__xludf.DUMMYFUNCTION("""COMPUTED_VALUE"""),"Omnipotent Might Infusion Recipe")</f>
        <v>Omnipotent Might Infusion Recipe</v>
      </c>
      <c r="AM16" s="2">
        <f>IFERROR(__xludf.DUMMYFUNCTION("""COMPUTED_VALUE"""),626.688)</f>
        <v>626.688</v>
      </c>
      <c r="AN16" s="2" t="str">
        <f>IFERROR(__xludf.DUMMYFUNCTION("""COMPUTED_VALUE"""),"Phoenix Ashes Recipe (Untradable)")</f>
        <v>Phoenix Ashes Recipe (Untradable)</v>
      </c>
      <c r="AO16" s="2">
        <f>IFERROR(__xludf.DUMMYFUNCTION("""COMPUTED_VALUE"""),0.0)</f>
        <v>0</v>
      </c>
      <c r="AP16" s="2" t="str">
        <f>IFERROR(__xludf.DUMMYFUNCTION("""COMPUTED_VALUE"""),"Omnipotent Might Infusion Recipe (Untradable)")</f>
        <v>Omnipotent Might Infusion Recipe (Untradable)</v>
      </c>
      <c r="AQ16" s="2">
        <f>IFERROR(__xludf.DUMMYFUNCTION("""COMPUTED_VALUE"""),0.0)</f>
        <v>0</v>
      </c>
    </row>
    <row r="17">
      <c r="A17" s="1" t="s">
        <v>466</v>
      </c>
      <c r="B17" s="1">
        <f t="shared" si="3"/>
        <v>272</v>
      </c>
      <c r="C17" s="1">
        <v>39000.0</v>
      </c>
      <c r="D17" s="1">
        <f>2*3600+50*60</f>
        <v>10200</v>
      </c>
      <c r="E17" s="2">
        <f t="shared" si="1"/>
        <v>-2313.83</v>
      </c>
      <c r="F17" s="2">
        <f t="shared" si="2"/>
        <v>-816.6458824</v>
      </c>
      <c r="G17" s="1">
        <v>26.0</v>
      </c>
      <c r="H17" s="2" t="str">
        <f>IFERROR(__xludf.DUMMYFUNCTION("MAP(OFFSET($H$1,0,0,1,G17*2),LAMBDA(c,IF(ISEVEN(COLUMN(c)),INDIRECT(ADDRESS(REGEXEXTRACT(c,""\d+"")+$B17,14,1,TRUE,""Market"")),INDIRECT(ADDRESS(REGEXEXTRACT(c,""\d+"")+$B17,15,3,,""Market""))*(INDIRECT(ADDRESS(REGEXEXTRACT(c,""\d+"")+$B17,17,3,,""Market"&amp;"""))*(1+$B$27/100)))))"),"Emberfang Recipe")</f>
        <v>Emberfang Recipe</v>
      </c>
      <c r="I17" s="2">
        <f>IFERROR(__xludf.DUMMYFUNCTION("""COMPUTED_VALUE"""),204.0)</f>
        <v>204</v>
      </c>
      <c r="J17" s="2" t="str">
        <f>IFERROR(__xludf.DUMMYFUNCTION("""COMPUTED_VALUE"""),"Bloodthirst Recipe")</f>
        <v>Bloodthirst Recipe</v>
      </c>
      <c r="K17" s="2">
        <f>IFERROR(__xludf.DUMMYFUNCTION("""COMPUTED_VALUE"""),1088.0)</f>
        <v>1088</v>
      </c>
      <c r="L17" s="2" t="str">
        <f>IFERROR(__xludf.DUMMYFUNCTION("""COMPUTED_VALUE"""),"Bloodthorn Recipe")</f>
        <v>Bloodthorn Recipe</v>
      </c>
      <c r="M17" s="2">
        <f>IFERROR(__xludf.DUMMYFUNCTION("""COMPUTED_VALUE"""),29.409999999999997)</f>
        <v>29.41</v>
      </c>
      <c r="N17" s="2" t="str">
        <f>IFERROR(__xludf.DUMMYFUNCTION("""COMPUTED_VALUE"""),"Fatebreaker Recipe")</f>
        <v>Fatebreaker Recipe</v>
      </c>
      <c r="O17" s="2">
        <f>IFERROR(__xludf.DUMMYFUNCTION("""COMPUTED_VALUE"""),2720.0)</f>
        <v>2720</v>
      </c>
      <c r="P17" s="2" t="str">
        <f>IFERROR(__xludf.DUMMYFUNCTION("""COMPUTED_VALUE"""),"Ashenwind Recipe")</f>
        <v>Ashenwind Recipe</v>
      </c>
      <c r="Q17" s="2">
        <f>IFERROR(__xludf.DUMMYFUNCTION("""COMPUTED_VALUE"""),340.0)</f>
        <v>340</v>
      </c>
      <c r="R17" s="2" t="str">
        <f>IFERROR(__xludf.DUMMYFUNCTION("""COMPUTED_VALUE"""),"Archdemon Recipe")</f>
        <v>Archdemon Recipe</v>
      </c>
      <c r="S17" s="2">
        <f>IFERROR(__xludf.DUMMYFUNCTION("""COMPUTED_VALUE"""),1088.0)</f>
        <v>1088</v>
      </c>
      <c r="T17" s="2" t="str">
        <f>IFERROR(__xludf.DUMMYFUNCTION("""COMPUTED_VALUE"""),"Runebound Helm Recipe")</f>
        <v>Runebound Helm Recipe</v>
      </c>
      <c r="U17" s="2">
        <f>IFERROR(__xludf.DUMMYFUNCTION("""COMPUTED_VALUE"""),476.0)</f>
        <v>476</v>
      </c>
      <c r="V17" s="2" t="str">
        <f>IFERROR(__xludf.DUMMYFUNCTION("""COMPUTED_VALUE"""),"Balthazar's Head Recipe")</f>
        <v>Balthazar's Head Recipe</v>
      </c>
      <c r="W17" s="2">
        <f>IFERROR(__xludf.DUMMYFUNCTION("""COMPUTED_VALUE"""),1088.0)</f>
        <v>1088</v>
      </c>
      <c r="X17" s="2" t="str">
        <f>IFERROR(__xludf.DUMMYFUNCTION("""COMPUTED_VALUE"""),"Warfists Recipe")</f>
        <v>Warfists Recipe</v>
      </c>
      <c r="Y17" s="2">
        <f>IFERROR(__xludf.DUMMYFUNCTION("""COMPUTED_VALUE"""),5440.0)</f>
        <v>5440</v>
      </c>
      <c r="Z17" s="4" t="str">
        <f>IFERROR(__xludf.DUMMYFUNCTION("""COMPUTED_VALUE"""),"Bloodforged Harness Recipe")</f>
        <v>Bloodforged Harness Recipe</v>
      </c>
      <c r="AA17" s="4">
        <f>IFERROR(__xludf.DUMMYFUNCTION("""COMPUTED_VALUE"""),850.0)</f>
        <v>850</v>
      </c>
      <c r="AB17" s="2" t="str">
        <f>IFERROR(__xludf.DUMMYFUNCTION("""COMPUTED_VALUE"""),"Windrider Harness Recipe")</f>
        <v>Windrider Harness Recipe</v>
      </c>
      <c r="AC17" s="2">
        <f>IFERROR(__xludf.DUMMYFUNCTION("""COMPUTED_VALUE"""),1088.0)</f>
        <v>1088</v>
      </c>
      <c r="AD17" s="2" t="str">
        <f>IFERROR(__xludf.DUMMYFUNCTION("""COMPUTED_VALUE"""),"Ashenfire Greaves Recipe")</f>
        <v>Ashenfire Greaves Recipe</v>
      </c>
      <c r="AE17" s="2">
        <f>IFERROR(__xludf.DUMMYFUNCTION("""COMPUTED_VALUE"""),340.0)</f>
        <v>340</v>
      </c>
      <c r="AF17" s="2" t="str">
        <f>IFERROR(__xludf.DUMMYFUNCTION("""COMPUTED_VALUE"""),"Twilight Veilguards Recipe")</f>
        <v>Twilight Veilguards Recipe</v>
      </c>
      <c r="AG17" s="2">
        <f>IFERROR(__xludf.DUMMYFUNCTION("""COMPUTED_VALUE"""),4352.0)</f>
        <v>4352</v>
      </c>
      <c r="AH17" s="2" t="str">
        <f>IFERROR(__xludf.DUMMYFUNCTION("""COMPUTED_VALUE"""),"Lunarweave Boots Recipe")</f>
        <v>Lunarweave Boots Recipe</v>
      </c>
      <c r="AI17" s="2">
        <f>IFERROR(__xludf.DUMMYFUNCTION("""COMPUTED_VALUE"""),289.0)</f>
        <v>289</v>
      </c>
      <c r="AJ17" s="2" t="str">
        <f>IFERROR(__xludf.DUMMYFUNCTION("""COMPUTED_VALUE"""),"Twilight Veilwalkers Recipe")</f>
        <v>Twilight Veilwalkers Recipe</v>
      </c>
      <c r="AK17" s="2">
        <f>IFERROR(__xludf.DUMMYFUNCTION("""COMPUTED_VALUE"""),2720.0)</f>
        <v>2720</v>
      </c>
      <c r="AL17" s="2" t="str">
        <f>IFERROR(__xludf.DUMMYFUNCTION("""COMPUTED_VALUE"""),"Verdant Sentinel Recipe")</f>
        <v>Verdant Sentinel Recipe</v>
      </c>
      <c r="AM17" s="2">
        <f>IFERROR(__xludf.DUMMYFUNCTION("""COMPUTED_VALUE"""),210.79999999999998)</f>
        <v>210.8</v>
      </c>
      <c r="AN17" s="2" t="str">
        <f>IFERROR(__xludf.DUMMYFUNCTION("""COMPUTED_VALUE"""),"Deathgate Recipe")</f>
        <v>Deathgate Recipe</v>
      </c>
      <c r="AO17" s="2">
        <f>IFERROR(__xludf.DUMMYFUNCTION("""COMPUTED_VALUE"""),2176.0)</f>
        <v>2176</v>
      </c>
      <c r="AP17" s="2" t="str">
        <f>IFERROR(__xludf.DUMMYFUNCTION("""COMPUTED_VALUE"""),"Boulder's Bane Recipe")</f>
        <v>Boulder's Bane Recipe</v>
      </c>
      <c r="AQ17" s="2">
        <f>IFERROR(__xludf.DUMMYFUNCTION("""COMPUTED_VALUE"""),8160.0)</f>
        <v>8160</v>
      </c>
      <c r="AR17" s="2" t="str">
        <f>IFERROR(__xludf.DUMMYFUNCTION("""COMPUTED_VALUE"""),"Sun's Light Recipe")</f>
        <v>Sun's Light Recipe</v>
      </c>
      <c r="AS17" s="2">
        <f>IFERROR(__xludf.DUMMYFUNCTION("""COMPUTED_VALUE"""),2399.04)</f>
        <v>2399.04</v>
      </c>
      <c r="AT17" s="2" t="str">
        <f>IFERROR(__xludf.DUMMYFUNCTION("""COMPUTED_VALUE"""),"Essence of a Kraken Recipe")</f>
        <v>Essence of a Kraken Recipe</v>
      </c>
      <c r="AU17" s="2">
        <f>IFERROR(__xludf.DUMMYFUNCTION("""COMPUTED_VALUE"""),771.12)</f>
        <v>771.12</v>
      </c>
      <c r="AV17" s="2" t="str">
        <f>IFERROR(__xludf.DUMMYFUNCTION("""COMPUTED_VALUE"""),"Cosmic Barrier Recipe")</f>
        <v>Cosmic Barrier Recipe</v>
      </c>
      <c r="AW17" s="2">
        <f>IFERROR(__xludf.DUMMYFUNCTION("""COMPUTED_VALUE"""),514.08)</f>
        <v>514.08</v>
      </c>
      <c r="AX17" s="2" t="str">
        <f>IFERROR(__xludf.DUMMYFUNCTION("""COMPUTED_VALUE"""),"Flash Velocity Infusion Recipe")</f>
        <v>Flash Velocity Infusion Recipe</v>
      </c>
      <c r="AY17" s="2">
        <f>IFERROR(__xludf.DUMMYFUNCTION("""COMPUTED_VALUE"""),342.72)</f>
        <v>342.72</v>
      </c>
      <c r="AZ17" s="2" t="str">
        <f>IFERROR(__xludf.DUMMYFUNCTION("""COMPUTED_VALUE"""),"Sun's Light Recipe (Untradable)")</f>
        <v>Sun's Light Recipe (Untradable)</v>
      </c>
      <c r="BA17" s="2">
        <f>IFERROR(__xludf.DUMMYFUNCTION("""COMPUTED_VALUE"""),0.0)</f>
        <v>0</v>
      </c>
      <c r="BB17" s="2" t="str">
        <f>IFERROR(__xludf.DUMMYFUNCTION("""COMPUTED_VALUE"""),"Essence of a Kraken Recipe (Untradable)")</f>
        <v>Essence of a Kraken Recipe (Untradable)</v>
      </c>
      <c r="BC17" s="2">
        <f>IFERROR(__xludf.DUMMYFUNCTION("""COMPUTED_VALUE"""),0.0)</f>
        <v>0</v>
      </c>
      <c r="BD17" s="2" t="str">
        <f>IFERROR(__xludf.DUMMYFUNCTION("""COMPUTED_VALUE"""),"Cosmic Barrier Recipe (Untradable)")</f>
        <v>Cosmic Barrier Recipe (Untradable)</v>
      </c>
      <c r="BE17" s="2">
        <f>IFERROR(__xludf.DUMMYFUNCTION("""COMPUTED_VALUE"""),0.0)</f>
        <v>0</v>
      </c>
      <c r="BF17" s="2" t="str">
        <f>IFERROR(__xludf.DUMMYFUNCTION("""COMPUTED_VALUE"""),"Flash Velocity Infusion Recipe (Untradable)")</f>
        <v>Flash Velocity Infusion Recipe (Untradable)</v>
      </c>
      <c r="BG17" s="2">
        <f>IFERROR(__xludf.DUMMYFUNCTION("""COMPUTED_VALUE"""),0.0)</f>
        <v>0</v>
      </c>
    </row>
    <row r="18">
      <c r="A18" s="1" t="s">
        <v>467</v>
      </c>
      <c r="B18" s="1">
        <f t="shared" si="3"/>
        <v>298</v>
      </c>
      <c r="C18" s="1">
        <v>42000.0</v>
      </c>
      <c r="D18" s="1">
        <f>2*3600+55*60</f>
        <v>10500</v>
      </c>
      <c r="E18" s="2">
        <f t="shared" si="1"/>
        <v>-29897.632</v>
      </c>
      <c r="F18" s="2">
        <f t="shared" si="2"/>
        <v>-10250.61669</v>
      </c>
      <c r="G18" s="1">
        <v>22.0</v>
      </c>
      <c r="H18" s="2" t="str">
        <f>IFERROR(__xludf.DUMMYFUNCTION("MAP(OFFSET($H$1,0,0,1,G18*2),LAMBDA(c,IF(ISEVEN(COLUMN(c)),INDIRECT(ADDRESS(REGEXEXTRACT(c,""\d+"")+$B18,14,1,TRUE,""Market"")),INDIRECT(ADDRESS(REGEXEXTRACT(c,""\d+"")+$B18,15,3,,""Market""))*(INDIRECT(ADDRESS(REGEXEXTRACT(c,""\d+"")+$B18,17,3,,""Market"&amp;"""))*(1+$B$27/100)))))"),"Tempest's Fury Recipe")</f>
        <v>Tempest's Fury Recipe</v>
      </c>
      <c r="I18" s="2">
        <f>IFERROR(__xludf.DUMMYFUNCTION("""COMPUTED_VALUE"""),850.0)</f>
        <v>850</v>
      </c>
      <c r="J18" s="2" t="str">
        <f>IFERROR(__xludf.DUMMYFUNCTION("""COMPUTED_VALUE"""),"Everflame Recipe")</f>
        <v>Everflame Recipe</v>
      </c>
      <c r="K18" s="2">
        <f>IFERROR(__xludf.DUMMYFUNCTION("""COMPUTED_VALUE"""),544.0)</f>
        <v>544</v>
      </c>
      <c r="L18" s="2" t="str">
        <f>IFERROR(__xludf.DUMMYFUNCTION("""COMPUTED_VALUE"""),"Emberstrike Recipe")</f>
        <v>Emberstrike Recipe</v>
      </c>
      <c r="M18" s="2">
        <f>IFERROR(__xludf.DUMMYFUNCTION("""COMPUTED_VALUE"""),102.0)</f>
        <v>102</v>
      </c>
      <c r="N18" s="2" t="str">
        <f>IFERROR(__xludf.DUMMYFUNCTION("""COMPUTED_VALUE"""),"Dreadspike Recipe")</f>
        <v>Dreadspike Recipe</v>
      </c>
      <c r="O18" s="2">
        <f>IFERROR(__xludf.DUMMYFUNCTION("""COMPUTED_VALUE"""),544.0)</f>
        <v>544</v>
      </c>
      <c r="P18" s="2" t="str">
        <f>IFERROR(__xludf.DUMMYFUNCTION("""COMPUTED_VALUE"""),"Sting Recipe")</f>
        <v>Sting Recipe</v>
      </c>
      <c r="Q18" s="2">
        <f>IFERROR(__xludf.DUMMYFUNCTION("""COMPUTED_VALUE"""),2448.0)</f>
        <v>2448</v>
      </c>
      <c r="R18" s="2" t="str">
        <f>IFERROR(__xludf.DUMMYFUNCTION("""COMPUTED_VALUE"""),"Thunder Recipe")</f>
        <v>Thunder Recipe</v>
      </c>
      <c r="S18" s="2">
        <f>IFERROR(__xludf.DUMMYFUNCTION("""COMPUTED_VALUE"""),544.0)</f>
        <v>544</v>
      </c>
      <c r="T18" s="2" t="str">
        <f>IFERROR(__xludf.DUMMYFUNCTION("""COMPUTED_VALUE"""),"Nature's Grip Recipe")</f>
        <v>Nature's Grip Recipe</v>
      </c>
      <c r="U18" s="2">
        <f>IFERROR(__xludf.DUMMYFUNCTION("""COMPUTED_VALUE"""),544.0)</f>
        <v>544</v>
      </c>
      <c r="V18" s="2" t="str">
        <f>IFERROR(__xludf.DUMMYFUNCTION("""COMPUTED_VALUE"""),"Starfire Plate Recipe")</f>
        <v>Starfire Plate Recipe</v>
      </c>
      <c r="W18" s="2">
        <f>IFERROR(__xludf.DUMMYFUNCTION("""COMPUTED_VALUE"""),1530.0)</f>
        <v>1530</v>
      </c>
      <c r="X18" s="2" t="str">
        <f>IFERROR(__xludf.DUMMYFUNCTION("""COMPUTED_VALUE"""),"Twilight Recipe")</f>
        <v>Twilight Recipe</v>
      </c>
      <c r="Y18" s="2">
        <f>IFERROR(__xludf.DUMMYFUNCTION("""COMPUTED_VALUE"""),544.0)</f>
        <v>544</v>
      </c>
      <c r="Z18" s="4" t="str">
        <f>IFERROR(__xludf.DUMMYFUNCTION("""COMPUTED_VALUE"""),"Verdant Greaves Recipe")</f>
        <v>Verdant Greaves Recipe</v>
      </c>
      <c r="AA18" s="4">
        <f>IFERROR(__xludf.DUMMYFUNCTION("""COMPUTED_VALUE"""),765.0)</f>
        <v>765</v>
      </c>
      <c r="AB18" s="2" t="str">
        <f>IFERROR(__xludf.DUMMYFUNCTION("""COMPUTED_VALUE"""),"Stormbringer Greaves Recipe")</f>
        <v>Stormbringer Greaves Recipe</v>
      </c>
      <c r="AC18" s="2">
        <f>IFERROR(__xludf.DUMMYFUNCTION("""COMPUTED_VALUE"""),544.0)</f>
        <v>544</v>
      </c>
      <c r="AD18" s="2" t="str">
        <f>IFERROR(__xludf.DUMMYFUNCTION("""COMPUTED_VALUE"""),"Runebound Footwraps Recipe")</f>
        <v>Runebound Footwraps Recipe</v>
      </c>
      <c r="AE18" s="2">
        <f>IFERROR(__xludf.DUMMYFUNCTION("""COMPUTED_VALUE"""),299.2)</f>
        <v>299.2</v>
      </c>
      <c r="AF18" s="2" t="str">
        <f>IFERROR(__xludf.DUMMYFUNCTION("""COMPUTED_VALUE"""),"Stormbringer Striders Recipe")</f>
        <v>Stormbringer Striders Recipe</v>
      </c>
      <c r="AG18" s="2">
        <f>IFERROR(__xludf.DUMMYFUNCTION("""COMPUTED_VALUE"""),544.0)</f>
        <v>544</v>
      </c>
      <c r="AH18" s="2" t="str">
        <f>IFERROR(__xludf.DUMMYFUNCTION("""COMPUTED_VALUE"""),"Twilight Sanctum Recipe")</f>
        <v>Twilight Sanctum Recipe</v>
      </c>
      <c r="AI18" s="2">
        <f>IFERROR(__xludf.DUMMYFUNCTION("""COMPUTED_VALUE"""),204.0)</f>
        <v>204</v>
      </c>
      <c r="AJ18" s="2" t="str">
        <f>IFERROR(__xludf.DUMMYFUNCTION("""COMPUTED_VALUE"""),"Brute Recipe")</f>
        <v>Brute Recipe</v>
      </c>
      <c r="AK18" s="2">
        <f>IFERROR(__xludf.DUMMYFUNCTION("""COMPUTED_VALUE"""),544.0)</f>
        <v>544</v>
      </c>
      <c r="AL18" s="2" t="str">
        <f>IFERROR(__xludf.DUMMYFUNCTION("""COMPUTED_VALUE"""),"Aqua Reaper")</f>
        <v>Aqua Reaper</v>
      </c>
      <c r="AM18" s="2">
        <f>IFERROR(__xludf.DUMMYFUNCTION("""COMPUTED_VALUE"""),544.0)</f>
        <v>544</v>
      </c>
      <c r="AN18" s="2" t="str">
        <f>IFERROR(__xludf.DUMMYFUNCTION("""COMPUTED_VALUE"""),"Neptune's Soul Recipe")</f>
        <v>Neptune's Soul Recipe</v>
      </c>
      <c r="AO18" s="2">
        <f>IFERROR(__xludf.DUMMYFUNCTION("""COMPUTED_VALUE"""),456.96)</f>
        <v>456.96</v>
      </c>
      <c r="AP18" s="2" t="str">
        <f>IFERROR(__xludf.DUMMYFUNCTION("""COMPUTED_VALUE"""),"Magma Vein Infusion Recipe")</f>
        <v>Magma Vein Infusion Recipe</v>
      </c>
      <c r="AQ18" s="2">
        <f>IFERROR(__xludf.DUMMYFUNCTION("""COMPUTED_VALUE"""),325.584)</f>
        <v>325.584</v>
      </c>
      <c r="AR18" s="2" t="str">
        <f>IFERROR(__xludf.DUMMYFUNCTION("""COMPUTED_VALUE"""),"Cosmic Finesse Tonic Recipe")</f>
        <v>Cosmic Finesse Tonic Recipe</v>
      </c>
      <c r="AS18" s="2">
        <f>IFERROR(__xludf.DUMMYFUNCTION("""COMPUTED_VALUE"""),225.624)</f>
        <v>225.624</v>
      </c>
      <c r="AT18" s="2" t="str">
        <f>IFERROR(__xludf.DUMMYFUNCTION("""COMPUTED_VALUE"""),"Neptune's Soul Recipe (Untradable)")</f>
        <v>Neptune's Soul Recipe (Untradable)</v>
      </c>
      <c r="AU18" s="2">
        <f>IFERROR(__xludf.DUMMYFUNCTION("""COMPUTED_VALUE"""),0.0)</f>
        <v>0</v>
      </c>
      <c r="AV18" s="2" t="str">
        <f>IFERROR(__xludf.DUMMYFUNCTION("""COMPUTED_VALUE"""),"Magma Vein Infusion Recipe (Untradable)")</f>
        <v>Magma Vein Infusion Recipe (Untradable)</v>
      </c>
      <c r="AW18" s="2">
        <f>IFERROR(__xludf.DUMMYFUNCTION("""COMPUTED_VALUE"""),0.0)</f>
        <v>0</v>
      </c>
      <c r="AX18" s="2" t="str">
        <f>IFERROR(__xludf.DUMMYFUNCTION("""COMPUTED_VALUE"""),"Cosmic Finesse Tonic Recipe (Untradable)")</f>
        <v>Cosmic Finesse Tonic Recipe (Untradable)</v>
      </c>
      <c r="AY18" s="2">
        <f>IFERROR(__xludf.DUMMYFUNCTION("""COMPUTED_VALUE"""),0.0)</f>
        <v>0</v>
      </c>
    </row>
    <row r="19">
      <c r="A19" s="1" t="s">
        <v>468</v>
      </c>
      <c r="B19" s="1">
        <f t="shared" si="3"/>
        <v>320</v>
      </c>
      <c r="C19" s="1">
        <v>45000.0</v>
      </c>
      <c r="D19" s="1">
        <f>3*3600</f>
        <v>10800</v>
      </c>
      <c r="E19" s="2">
        <f t="shared" si="1"/>
        <v>-12557.57808</v>
      </c>
      <c r="F19" s="2">
        <f t="shared" si="2"/>
        <v>-4185.85936</v>
      </c>
      <c r="G19" s="1">
        <v>26.0</v>
      </c>
      <c r="H19" s="2" t="str">
        <f>IFERROR(__xludf.DUMMYFUNCTION("MAP(OFFSET($H$1,0,0,1,G19*2),LAMBDA(c,IF(ISEVEN(COLUMN(c)),INDIRECT(ADDRESS(REGEXEXTRACT(c,""\d+"")+$B19,14,1,TRUE,""Market"")),INDIRECT(ADDRESS(REGEXEXTRACT(c,""\d+"")+$B19,15,3,,""Market""))*(INDIRECT(ADDRESS(REGEXEXTRACT(c,""\d+"")+$B19,17,3,,""Market"&amp;"""))*(1+$B$27/100)))))"),"Excalibur Recipe")</f>
        <v>Excalibur Recipe</v>
      </c>
      <c r="I19" s="2">
        <f>IFERROR(__xludf.DUMMYFUNCTION("""COMPUTED_VALUE"""),680.0)</f>
        <v>680</v>
      </c>
      <c r="J19" s="2" t="str">
        <f>IFERROR(__xludf.DUMMYFUNCTION("""COMPUTED_VALUE"""),"Moonlance Recipe")</f>
        <v>Moonlance Recipe</v>
      </c>
      <c r="K19" s="2">
        <f>IFERROR(__xludf.DUMMYFUNCTION("""COMPUTED_VALUE"""),2039.9999999999998)</f>
        <v>2040</v>
      </c>
      <c r="L19" s="2" t="str">
        <f>IFERROR(__xludf.DUMMYFUNCTION("""COMPUTED_VALUE"""),"Divinity Recipe")</f>
        <v>Divinity Recipe</v>
      </c>
      <c r="M19" s="2">
        <f>IFERROR(__xludf.DUMMYFUNCTION("""COMPUTED_VALUE"""),2039.9999999999998)</f>
        <v>2040</v>
      </c>
      <c r="N19" s="2" t="str">
        <f>IFERROR(__xludf.DUMMYFUNCTION("""COMPUTED_VALUE"""),"Fortune Recipe")</f>
        <v>Fortune Recipe</v>
      </c>
      <c r="O19" s="2">
        <f>IFERROR(__xludf.DUMMYFUNCTION("""COMPUTED_VALUE"""),2039.9999999999998)</f>
        <v>2040</v>
      </c>
      <c r="P19" s="2" t="str">
        <f>IFERROR(__xludf.DUMMYFUNCTION("""COMPUTED_VALUE"""),"Fists of Fury Recipe")</f>
        <v>Fists of Fury Recipe</v>
      </c>
      <c r="Q19" s="2">
        <f>IFERROR(__xludf.DUMMYFUNCTION("""COMPUTED_VALUE"""),2039.9999999999998)</f>
        <v>2040</v>
      </c>
      <c r="R19" s="2" t="str">
        <f>IFERROR(__xludf.DUMMYFUNCTION("""COMPUTED_VALUE"""),"Moonshadow Vestment Recipe")</f>
        <v>Moonshadow Vestment Recipe</v>
      </c>
      <c r="S19" s="2">
        <f>IFERROR(__xludf.DUMMYFUNCTION("""COMPUTED_VALUE"""),4896.0)</f>
        <v>4896</v>
      </c>
      <c r="T19" s="2" t="str">
        <f>IFERROR(__xludf.DUMMYFUNCTION("""COMPUTED_VALUE"""),"Corruption Recipe")</f>
        <v>Corruption Recipe</v>
      </c>
      <c r="U19" s="2">
        <f>IFERROR(__xludf.DUMMYFUNCTION("""COMPUTED_VALUE"""),680.0)</f>
        <v>680</v>
      </c>
      <c r="V19" s="2" t="str">
        <f>IFERROR(__xludf.DUMMYFUNCTION("""COMPUTED_VALUE"""),"Bloodforged Legguards Recipe")</f>
        <v>Bloodforged Legguards Recipe</v>
      </c>
      <c r="W19" s="2">
        <f>IFERROR(__xludf.DUMMYFUNCTION("""COMPUTED_VALUE"""),1360.0)</f>
        <v>1360</v>
      </c>
      <c r="X19" s="2" t="str">
        <f>IFERROR(__xludf.DUMMYFUNCTION("""COMPUTED_VALUE"""),"Dirella's Protection Recipe")</f>
        <v>Dirella's Protection Recipe</v>
      </c>
      <c r="Y19" s="2">
        <f>IFERROR(__xludf.DUMMYFUNCTION("""COMPUTED_VALUE"""),2039.9999999999998)</f>
        <v>2040</v>
      </c>
      <c r="Z19" s="4" t="str">
        <f>IFERROR(__xludf.DUMMYFUNCTION("""COMPUTED_VALUE"""),"Bloodforged Boots Recipe")</f>
        <v>Bloodforged Boots Recipe</v>
      </c>
      <c r="AA19" s="4">
        <f>IFERROR(__xludf.DUMMYFUNCTION("""COMPUTED_VALUE"""),680.0)</f>
        <v>680</v>
      </c>
      <c r="AB19" s="2" t="str">
        <f>IFERROR(__xludf.DUMMYFUNCTION("""COMPUTED_VALUE"""),"Phoenix Boots Recipe")</f>
        <v>Phoenix Boots Recipe</v>
      </c>
      <c r="AC19" s="2">
        <f>IFERROR(__xludf.DUMMYFUNCTION("""COMPUTED_VALUE"""),1972.0)</f>
        <v>1972</v>
      </c>
      <c r="AD19" s="2" t="str">
        <f>IFERROR(__xludf.DUMMYFUNCTION("""COMPUTED_VALUE"""),"Fatebreaker Footguards Recipe")</f>
        <v>Fatebreaker Footguards Recipe</v>
      </c>
      <c r="AE19" s="2">
        <f>IFERROR(__xludf.DUMMYFUNCTION("""COMPUTED_VALUE"""),2039.9999999999998)</f>
        <v>2040</v>
      </c>
      <c r="AF19" s="2" t="str">
        <f>IFERROR(__xludf.DUMMYFUNCTION("""COMPUTED_VALUE"""),"Glimmersteel Ward Recipe")</f>
        <v>Glimmersteel Ward Recipe</v>
      </c>
      <c r="AG19" s="2">
        <f>IFERROR(__xludf.DUMMYFUNCTION("""COMPUTED_VALUE"""),850.0)</f>
        <v>850</v>
      </c>
      <c r="AH19" s="2" t="str">
        <f>IFERROR(__xludf.DUMMYFUNCTION("""COMPUTED_VALUE"""),"Colossus Recipe")</f>
        <v>Colossus Recipe</v>
      </c>
      <c r="AI19" s="2">
        <f>IFERROR(__xludf.DUMMYFUNCTION("""COMPUTED_VALUE"""),2039.9999999999998)</f>
        <v>2040</v>
      </c>
      <c r="AJ19" s="2" t="str">
        <f>IFERROR(__xludf.DUMMYFUNCTION("""COMPUTED_VALUE"""),"Earth Destroyer Recipe")</f>
        <v>Earth Destroyer Recipe</v>
      </c>
      <c r="AK19" s="2">
        <f>IFERROR(__xludf.DUMMYFUNCTION("""COMPUTED_VALUE"""),2039.9999999999998)</f>
        <v>2040</v>
      </c>
      <c r="AL19" s="2" t="str">
        <f>IFERROR(__xludf.DUMMYFUNCTION("""COMPUTED_VALUE"""),"Forest Reaver Recipe")</f>
        <v>Forest Reaver Recipe</v>
      </c>
      <c r="AM19" s="2">
        <f>IFERROR(__xludf.DUMMYFUNCTION("""COMPUTED_VALUE"""),2039.9999999999998)</f>
        <v>2040</v>
      </c>
      <c r="AN19" s="2" t="str">
        <f>IFERROR(__xludf.DUMMYFUNCTION("""COMPUTED_VALUE"""),"Titans Essence Recipe")</f>
        <v>Titans Essence Recipe</v>
      </c>
      <c r="AO19" s="2">
        <f>IFERROR(__xludf.DUMMYFUNCTION("""COMPUTED_VALUE"""),302.22191999999995)</f>
        <v>302.22192</v>
      </c>
      <c r="AP19" s="2" t="str">
        <f>IFERROR(__xludf.DUMMYFUNCTION("""COMPUTED_VALUE"""),"Mjolnir's Elixir Recipe")</f>
        <v>Mjolnir's Elixir Recipe</v>
      </c>
      <c r="AQ19" s="2">
        <f>IFERROR(__xludf.DUMMYFUNCTION("""COMPUTED_VALUE"""),458.99999999999994)</f>
        <v>459</v>
      </c>
      <c r="AR19" s="2" t="str">
        <f>IFERROR(__xludf.DUMMYFUNCTION("""COMPUTED_VALUE"""),"Dragon's Essence Recipe")</f>
        <v>Dragon's Essence Recipe</v>
      </c>
      <c r="AS19" s="2">
        <f>IFERROR(__xludf.DUMMYFUNCTION("""COMPUTED_VALUE"""),815.9999999999999)</f>
        <v>816</v>
      </c>
      <c r="AT19" s="2" t="str">
        <f>IFERROR(__xludf.DUMMYFUNCTION("""COMPUTED_VALUE"""),"Titanwood Crystal Recipe")</f>
        <v>Titanwood Crystal Recipe</v>
      </c>
      <c r="AU19" s="2">
        <f>IFERROR(__xludf.DUMMYFUNCTION("""COMPUTED_VALUE"""),713.9999999999999)</f>
        <v>714</v>
      </c>
      <c r="AV19" s="2" t="str">
        <f>IFERROR(__xludf.DUMMYFUNCTION("""COMPUTED_VALUE"""),"Primordial Timber Crystal Recipe")</f>
        <v>Primordial Timber Crystal Recipe</v>
      </c>
      <c r="AW19" s="2">
        <f>IFERROR(__xludf.DUMMYFUNCTION("""COMPUTED_VALUE"""),673.1999999999999)</f>
        <v>673.2</v>
      </c>
      <c r="AX19" s="2" t="str">
        <f>IFERROR(__xludf.DUMMYFUNCTION("""COMPUTED_VALUE"""),"Titans Essence Recipe (Untradable)")</f>
        <v>Titans Essence Recipe (Untradable)</v>
      </c>
      <c r="AY19" s="2">
        <f>IFERROR(__xludf.DUMMYFUNCTION("""COMPUTED_VALUE"""),0.0)</f>
        <v>0</v>
      </c>
      <c r="AZ19" s="2" t="str">
        <f>IFERROR(__xludf.DUMMYFUNCTION("""COMPUTED_VALUE"""),"Mjolnir's Elixir Recipe (Untradable)")</f>
        <v>Mjolnir's Elixir Recipe (Untradable)</v>
      </c>
      <c r="BA19" s="2">
        <f>IFERROR(__xludf.DUMMYFUNCTION("""COMPUTED_VALUE"""),0.0)</f>
        <v>0</v>
      </c>
      <c r="BB19" s="2" t="str">
        <f>IFERROR(__xludf.DUMMYFUNCTION("""COMPUTED_VALUE"""),"Dragon's Essence Recipe (Untradable)")</f>
        <v>Dragon's Essence Recipe (Untradable)</v>
      </c>
      <c r="BC19" s="2">
        <f>IFERROR(__xludf.DUMMYFUNCTION("""COMPUTED_VALUE"""),0.0)</f>
        <v>0</v>
      </c>
      <c r="BD19" s="2" t="str">
        <f>IFERROR(__xludf.DUMMYFUNCTION("""COMPUTED_VALUE"""),"Titanwood Crystal Recipe (Untradable)")</f>
        <v>Titanwood Crystal Recipe (Untradable)</v>
      </c>
      <c r="BE19" s="2">
        <f>IFERROR(__xludf.DUMMYFUNCTION("""COMPUTED_VALUE"""),0.0)</f>
        <v>0</v>
      </c>
      <c r="BF19" s="2" t="str">
        <f>IFERROR(__xludf.DUMMYFUNCTION("""COMPUTED_VALUE"""),"Primordial Timber Crystal Recipe (Untradable)")</f>
        <v>Primordial Timber Crystal Recipe (Untradable)</v>
      </c>
      <c r="BG19" s="2">
        <f>IFERROR(__xludf.DUMMYFUNCTION("""COMPUTED_VALUE"""),0.0)</f>
        <v>0</v>
      </c>
    </row>
    <row r="20">
      <c r="Z20" s="4"/>
      <c r="AA20" s="4"/>
    </row>
    <row r="21">
      <c r="Z21" s="4"/>
      <c r="AA21" s="4"/>
    </row>
    <row r="22">
      <c r="Z22" s="4"/>
      <c r="AA22" s="4"/>
    </row>
    <row r="23">
      <c r="A23" s="1" t="s">
        <v>469</v>
      </c>
      <c r="B23" s="1">
        <v>10.0</v>
      </c>
      <c r="Z23" s="4"/>
      <c r="AA23" s="4"/>
    </row>
    <row r="24">
      <c r="A24" s="1" t="s">
        <v>470</v>
      </c>
      <c r="B24" s="1">
        <v>13.0</v>
      </c>
      <c r="Z24" s="4"/>
      <c r="AA24" s="4"/>
    </row>
    <row r="25">
      <c r="A25" s="1" t="s">
        <v>471</v>
      </c>
      <c r="B25" s="1">
        <v>3.0</v>
      </c>
      <c r="Z25" s="4"/>
      <c r="AA25" s="4"/>
    </row>
    <row r="26">
      <c r="A26" s="1" t="s">
        <v>472</v>
      </c>
      <c r="B26" s="1">
        <v>10.0</v>
      </c>
      <c r="Z26" s="4"/>
      <c r="AA26" s="4"/>
    </row>
    <row r="27">
      <c r="B27" s="2">
        <f>SUM(B22:B26)</f>
        <v>36</v>
      </c>
      <c r="Z27" s="4"/>
      <c r="AA27" s="4"/>
    </row>
    <row r="28">
      <c r="Z28" s="4"/>
      <c r="AA28" s="4"/>
    </row>
    <row r="29">
      <c r="Z29" s="4"/>
      <c r="AA29" s="4"/>
    </row>
    <row r="30">
      <c r="Z30" s="4"/>
      <c r="AA30" s="4"/>
    </row>
    <row r="31">
      <c r="Z31" s="4"/>
      <c r="AA31" s="4"/>
    </row>
    <row r="32">
      <c r="Z32" s="4"/>
      <c r="AA32" s="4"/>
    </row>
    <row r="33">
      <c r="Z33" s="4"/>
      <c r="AA33" s="4"/>
    </row>
    <row r="34">
      <c r="Z34" s="4"/>
      <c r="AA34" s="4"/>
    </row>
    <row r="35">
      <c r="Z35" s="4"/>
      <c r="AA35" s="4"/>
    </row>
    <row r="36">
      <c r="Z36" s="4"/>
      <c r="AA36" s="4"/>
    </row>
    <row r="37">
      <c r="Z37" s="4"/>
      <c r="AA37" s="4"/>
    </row>
    <row r="38">
      <c r="Z38" s="4"/>
      <c r="AA38" s="4"/>
    </row>
    <row r="39">
      <c r="Z39" s="4"/>
      <c r="AA39" s="4"/>
    </row>
    <row r="40">
      <c r="Z40" s="4"/>
      <c r="AA40" s="4"/>
    </row>
    <row r="41">
      <c r="Z41" s="4"/>
      <c r="AA41" s="4"/>
    </row>
    <row r="42">
      <c r="Z42" s="4"/>
      <c r="AA42" s="4"/>
    </row>
    <row r="43">
      <c r="Z43" s="4"/>
      <c r="AA43" s="4"/>
    </row>
    <row r="44">
      <c r="Z44" s="4"/>
      <c r="AA44" s="4"/>
    </row>
    <row r="45">
      <c r="Z45" s="4"/>
      <c r="AA45" s="4"/>
    </row>
    <row r="46">
      <c r="Z46" s="4"/>
      <c r="AA46" s="4"/>
    </row>
    <row r="47">
      <c r="Z47" s="4"/>
      <c r="AA47" s="4"/>
    </row>
    <row r="48">
      <c r="Z48" s="4"/>
      <c r="AA48" s="4"/>
    </row>
    <row r="49">
      <c r="Z49" s="4"/>
      <c r="AA49" s="4"/>
    </row>
    <row r="50">
      <c r="Z50" s="4"/>
      <c r="AA50" s="4"/>
    </row>
    <row r="51">
      <c r="Z51" s="4"/>
      <c r="AA51" s="4"/>
    </row>
    <row r="52">
      <c r="Z52" s="4"/>
      <c r="AA52" s="4"/>
    </row>
    <row r="53">
      <c r="Z53" s="4"/>
      <c r="AA53" s="4"/>
    </row>
    <row r="54">
      <c r="Z54" s="4"/>
      <c r="AA54" s="4"/>
    </row>
    <row r="55">
      <c r="Z55" s="4"/>
      <c r="AA55" s="4"/>
    </row>
    <row r="56">
      <c r="Z56" s="4"/>
      <c r="AA56" s="4"/>
    </row>
    <row r="57">
      <c r="Z57" s="4"/>
      <c r="AA57" s="4"/>
    </row>
    <row r="58">
      <c r="Z58" s="4"/>
      <c r="AA58" s="4"/>
    </row>
    <row r="59">
      <c r="Z59" s="4"/>
      <c r="AA59" s="4"/>
    </row>
    <row r="60">
      <c r="Z60" s="4"/>
      <c r="AA60" s="4"/>
    </row>
    <row r="61">
      <c r="Z61" s="4"/>
      <c r="AA61" s="4"/>
    </row>
    <row r="62">
      <c r="Z62" s="4"/>
      <c r="AA62" s="4"/>
    </row>
    <row r="63">
      <c r="Z63" s="4"/>
      <c r="AA63" s="4"/>
    </row>
    <row r="64">
      <c r="Z64" s="4"/>
      <c r="AA64" s="4"/>
    </row>
    <row r="65">
      <c r="Z65" s="4"/>
      <c r="AA65" s="4"/>
    </row>
    <row r="66">
      <c r="Z66" s="4"/>
      <c r="AA66" s="4"/>
    </row>
    <row r="67">
      <c r="Z67" s="4"/>
      <c r="AA67" s="4"/>
    </row>
    <row r="68">
      <c r="Z68" s="4"/>
      <c r="AA68" s="4"/>
    </row>
    <row r="69">
      <c r="Z69" s="4"/>
      <c r="AA69" s="4"/>
    </row>
    <row r="70">
      <c r="Z70" s="4"/>
      <c r="AA70" s="4"/>
    </row>
    <row r="71">
      <c r="Z71" s="4"/>
      <c r="AA71" s="4"/>
    </row>
    <row r="72">
      <c r="Z72" s="4"/>
      <c r="AA72" s="4"/>
    </row>
    <row r="73">
      <c r="Z73" s="4"/>
      <c r="AA73" s="4"/>
    </row>
    <row r="74">
      <c r="Z74" s="4"/>
      <c r="AA74" s="4"/>
    </row>
    <row r="75">
      <c r="Z75" s="4"/>
      <c r="AA75" s="4"/>
    </row>
    <row r="76">
      <c r="Z76" s="4"/>
      <c r="AA76" s="4"/>
    </row>
    <row r="77">
      <c r="Z77" s="4"/>
      <c r="AA77" s="4"/>
    </row>
    <row r="78">
      <c r="Z78" s="4"/>
      <c r="AA78" s="4"/>
    </row>
    <row r="79">
      <c r="Z79" s="4"/>
      <c r="AA79" s="4"/>
    </row>
    <row r="80">
      <c r="Z80" s="4"/>
      <c r="AA80" s="4"/>
    </row>
    <row r="81">
      <c r="Z81" s="4"/>
      <c r="AA81" s="4"/>
    </row>
    <row r="82">
      <c r="Z82" s="4"/>
      <c r="AA82" s="4"/>
    </row>
    <row r="83">
      <c r="Z83" s="4"/>
      <c r="AA83" s="4"/>
    </row>
    <row r="84">
      <c r="Z84" s="4"/>
      <c r="AA84" s="4"/>
    </row>
    <row r="85">
      <c r="Z85" s="4"/>
      <c r="AA85" s="4"/>
    </row>
    <row r="86">
      <c r="Z86" s="4"/>
      <c r="AA86" s="4"/>
    </row>
    <row r="87">
      <c r="Z87" s="4"/>
      <c r="AA87" s="4"/>
    </row>
    <row r="88">
      <c r="Z88" s="4"/>
      <c r="AA88" s="4"/>
    </row>
    <row r="89">
      <c r="Z89" s="4"/>
      <c r="AA89" s="4"/>
    </row>
    <row r="90">
      <c r="Z90" s="4"/>
      <c r="AA90" s="4"/>
    </row>
    <row r="91">
      <c r="Z91" s="4"/>
      <c r="AA91" s="4"/>
    </row>
    <row r="92">
      <c r="Z92" s="4"/>
      <c r="AA92" s="4"/>
    </row>
    <row r="93">
      <c r="Z93" s="4"/>
      <c r="AA93" s="4"/>
    </row>
    <row r="94">
      <c r="Z94" s="4"/>
      <c r="AA94" s="4"/>
    </row>
    <row r="95">
      <c r="Z95" s="4"/>
      <c r="AA95" s="4"/>
    </row>
    <row r="96">
      <c r="Z96" s="4"/>
      <c r="AA96" s="4"/>
    </row>
    <row r="97">
      <c r="Z97" s="4"/>
      <c r="AA97" s="4"/>
    </row>
    <row r="98">
      <c r="Z98" s="4"/>
      <c r="AA98" s="4"/>
    </row>
    <row r="99">
      <c r="Z99" s="4"/>
      <c r="AA99" s="4"/>
    </row>
    <row r="100">
      <c r="Z100" s="4"/>
      <c r="AA100" s="4"/>
    </row>
    <row r="101">
      <c r="Z101" s="4"/>
      <c r="AA101" s="4"/>
    </row>
    <row r="102">
      <c r="Z102" s="4"/>
      <c r="AA102" s="4"/>
    </row>
    <row r="103">
      <c r="Z103" s="4"/>
      <c r="AA103" s="4"/>
    </row>
    <row r="104">
      <c r="Z104" s="4"/>
      <c r="AA104" s="4"/>
    </row>
    <row r="105">
      <c r="Z105" s="4"/>
      <c r="AA105" s="4"/>
    </row>
    <row r="106">
      <c r="Z106" s="4"/>
      <c r="AA106" s="4"/>
    </row>
    <row r="107">
      <c r="Z107" s="4"/>
      <c r="AA107" s="4"/>
    </row>
    <row r="108">
      <c r="Z108" s="4"/>
      <c r="AA108" s="4"/>
    </row>
    <row r="109">
      <c r="Z109" s="4"/>
      <c r="AA109" s="4"/>
    </row>
    <row r="110">
      <c r="Z110" s="4"/>
      <c r="AA110" s="4"/>
    </row>
    <row r="111">
      <c r="Z111" s="4"/>
      <c r="AA111" s="4"/>
    </row>
    <row r="112">
      <c r="Z112" s="4"/>
      <c r="AA112" s="4"/>
    </row>
    <row r="113">
      <c r="Z113" s="4"/>
      <c r="AA113" s="4"/>
    </row>
    <row r="114">
      <c r="Z114" s="4"/>
      <c r="AA114" s="4"/>
    </row>
    <row r="115">
      <c r="Z115" s="4"/>
      <c r="AA115" s="4"/>
    </row>
    <row r="116">
      <c r="Z116" s="4"/>
      <c r="AA116" s="4"/>
    </row>
    <row r="117">
      <c r="Z117" s="4"/>
      <c r="AA117" s="4"/>
    </row>
    <row r="118">
      <c r="Z118" s="4"/>
      <c r="AA118" s="4"/>
    </row>
    <row r="119">
      <c r="Z119" s="4"/>
      <c r="AA119" s="4"/>
    </row>
    <row r="120">
      <c r="Z120" s="4"/>
      <c r="AA120" s="4"/>
    </row>
    <row r="121">
      <c r="Z121" s="4"/>
      <c r="AA121" s="4"/>
    </row>
    <row r="122">
      <c r="Z122" s="4"/>
      <c r="AA122" s="4"/>
    </row>
    <row r="123">
      <c r="Z123" s="4"/>
      <c r="AA123" s="4"/>
    </row>
    <row r="124">
      <c r="Z124" s="4"/>
      <c r="AA124" s="4"/>
    </row>
    <row r="125">
      <c r="Z125" s="4"/>
      <c r="AA125" s="4"/>
    </row>
    <row r="126">
      <c r="Z126" s="4"/>
      <c r="AA126" s="4"/>
    </row>
    <row r="127">
      <c r="Z127" s="4"/>
      <c r="AA127" s="4"/>
    </row>
    <row r="128">
      <c r="Z128" s="4"/>
      <c r="AA128" s="4"/>
    </row>
    <row r="129">
      <c r="Z129" s="4"/>
      <c r="AA129" s="4"/>
    </row>
    <row r="130">
      <c r="Z130" s="4"/>
      <c r="AA130" s="4"/>
    </row>
    <row r="131">
      <c r="Z131" s="4"/>
      <c r="AA131" s="4"/>
    </row>
    <row r="132">
      <c r="Z132" s="4"/>
      <c r="AA132" s="4"/>
    </row>
    <row r="133">
      <c r="Z133" s="4"/>
      <c r="AA133" s="4"/>
    </row>
    <row r="134">
      <c r="Z134" s="4"/>
      <c r="AA134" s="4"/>
    </row>
    <row r="135">
      <c r="Z135" s="4"/>
      <c r="AA135" s="4"/>
    </row>
    <row r="136">
      <c r="Z136" s="4"/>
      <c r="AA136" s="4"/>
    </row>
    <row r="137">
      <c r="Z137" s="4"/>
      <c r="AA137" s="4"/>
    </row>
    <row r="138">
      <c r="Z138" s="4"/>
      <c r="AA138" s="4"/>
    </row>
    <row r="139">
      <c r="Z139" s="4"/>
      <c r="AA139" s="4"/>
    </row>
    <row r="140">
      <c r="Z140" s="4"/>
      <c r="AA140" s="4"/>
    </row>
    <row r="141">
      <c r="Z141" s="4"/>
      <c r="AA141" s="4"/>
    </row>
    <row r="142">
      <c r="Z142" s="4"/>
      <c r="AA142" s="4"/>
    </row>
    <row r="143">
      <c r="Z143" s="4"/>
      <c r="AA143" s="4"/>
    </row>
    <row r="144">
      <c r="Z144" s="4"/>
      <c r="AA144" s="4"/>
    </row>
    <row r="145">
      <c r="Z145" s="4"/>
      <c r="AA145" s="4"/>
    </row>
    <row r="146">
      <c r="Z146" s="4"/>
      <c r="AA146" s="4"/>
    </row>
    <row r="147">
      <c r="Z147" s="4"/>
      <c r="AA147" s="4"/>
    </row>
    <row r="148">
      <c r="Z148" s="4"/>
      <c r="AA148" s="4"/>
    </row>
    <row r="149">
      <c r="Z149" s="4"/>
      <c r="AA149" s="4"/>
    </row>
    <row r="150">
      <c r="Z150" s="4"/>
      <c r="AA150" s="4"/>
    </row>
    <row r="151">
      <c r="Z151" s="4"/>
      <c r="AA151" s="4"/>
    </row>
    <row r="152">
      <c r="Z152" s="4"/>
      <c r="AA152" s="4"/>
    </row>
    <row r="153">
      <c r="Z153" s="4"/>
      <c r="AA153" s="4"/>
    </row>
    <row r="154">
      <c r="Z154" s="4"/>
      <c r="AA154" s="4"/>
    </row>
    <row r="155">
      <c r="Z155" s="4"/>
      <c r="AA155" s="4"/>
    </row>
    <row r="156">
      <c r="Z156" s="4"/>
      <c r="AA156" s="4"/>
    </row>
    <row r="157">
      <c r="Z157" s="4"/>
      <c r="AA157" s="4"/>
    </row>
    <row r="158">
      <c r="Z158" s="4"/>
      <c r="AA158" s="4"/>
    </row>
    <row r="159">
      <c r="Z159" s="4"/>
      <c r="AA159" s="4"/>
    </row>
    <row r="160">
      <c r="Z160" s="4"/>
      <c r="AA160" s="4"/>
    </row>
    <row r="161">
      <c r="Z161" s="4"/>
      <c r="AA161" s="4"/>
    </row>
    <row r="162">
      <c r="Z162" s="4"/>
      <c r="AA162" s="4"/>
    </row>
    <row r="163">
      <c r="Z163" s="4"/>
      <c r="AA163" s="4"/>
    </row>
    <row r="164">
      <c r="Z164" s="4"/>
      <c r="AA164" s="4"/>
    </row>
    <row r="165">
      <c r="Z165" s="4"/>
      <c r="AA165" s="4"/>
    </row>
    <row r="166">
      <c r="Z166" s="4"/>
      <c r="AA166" s="4"/>
    </row>
    <row r="167">
      <c r="Z167" s="4"/>
      <c r="AA167" s="4"/>
    </row>
    <row r="168">
      <c r="Z168" s="4"/>
      <c r="AA168" s="4"/>
    </row>
    <row r="169">
      <c r="Z169" s="4"/>
      <c r="AA169" s="4"/>
    </row>
    <row r="170">
      <c r="Z170" s="4"/>
      <c r="AA170" s="4"/>
    </row>
    <row r="171">
      <c r="Z171" s="4"/>
      <c r="AA171" s="4"/>
    </row>
    <row r="172">
      <c r="Z172" s="4"/>
      <c r="AA172" s="4"/>
    </row>
    <row r="173">
      <c r="Z173" s="4"/>
      <c r="AA173" s="4"/>
    </row>
    <row r="174">
      <c r="Z174" s="4"/>
      <c r="AA174" s="4"/>
    </row>
    <row r="175">
      <c r="Z175" s="4"/>
      <c r="AA175" s="4"/>
    </row>
    <row r="176">
      <c r="Z176" s="4"/>
      <c r="AA176" s="4"/>
    </row>
    <row r="177">
      <c r="Z177" s="4"/>
      <c r="AA177" s="4"/>
    </row>
    <row r="178">
      <c r="Z178" s="4"/>
      <c r="AA178" s="4"/>
    </row>
    <row r="179">
      <c r="Z179" s="4"/>
      <c r="AA179" s="4"/>
    </row>
    <row r="180">
      <c r="Z180" s="4"/>
      <c r="AA180" s="4"/>
    </row>
    <row r="181">
      <c r="Z181" s="4"/>
      <c r="AA181" s="4"/>
    </row>
    <row r="182">
      <c r="Z182" s="4"/>
      <c r="AA182" s="4"/>
    </row>
    <row r="183">
      <c r="Z183" s="4"/>
      <c r="AA183" s="4"/>
    </row>
    <row r="184">
      <c r="Z184" s="4"/>
      <c r="AA184" s="4"/>
    </row>
    <row r="185">
      <c r="Z185" s="4"/>
      <c r="AA185" s="4"/>
    </row>
    <row r="186">
      <c r="Z186" s="4"/>
      <c r="AA186" s="4"/>
    </row>
    <row r="187">
      <c r="Z187" s="4"/>
      <c r="AA187" s="4"/>
    </row>
    <row r="188">
      <c r="Z188" s="4"/>
      <c r="AA188" s="4"/>
    </row>
    <row r="189">
      <c r="Z189" s="4"/>
      <c r="AA189" s="4"/>
    </row>
    <row r="190">
      <c r="Z190" s="4"/>
      <c r="AA190" s="4"/>
    </row>
    <row r="191">
      <c r="Z191" s="4"/>
      <c r="AA191" s="4"/>
    </row>
    <row r="192">
      <c r="Z192" s="4"/>
      <c r="AA192" s="4"/>
    </row>
    <row r="193">
      <c r="Z193" s="4"/>
      <c r="AA193" s="4"/>
    </row>
    <row r="194">
      <c r="Z194" s="4"/>
      <c r="AA194" s="4"/>
    </row>
    <row r="195">
      <c r="Z195" s="4"/>
      <c r="AA195" s="4"/>
    </row>
    <row r="196">
      <c r="Z196" s="4"/>
      <c r="AA196" s="4"/>
    </row>
    <row r="197">
      <c r="Z197" s="4"/>
      <c r="AA197" s="4"/>
    </row>
    <row r="198">
      <c r="Z198" s="4"/>
      <c r="AA198" s="4"/>
    </row>
    <row r="199">
      <c r="Z199" s="4"/>
      <c r="AA199" s="4"/>
    </row>
    <row r="200">
      <c r="Z200" s="4"/>
      <c r="AA200" s="4"/>
    </row>
    <row r="201">
      <c r="Z201" s="4"/>
      <c r="AA201" s="4"/>
    </row>
    <row r="202">
      <c r="Z202" s="4"/>
      <c r="AA202" s="4"/>
    </row>
    <row r="203">
      <c r="Z203" s="4"/>
      <c r="AA203" s="4"/>
    </row>
    <row r="204">
      <c r="Z204" s="4"/>
      <c r="AA204" s="4"/>
    </row>
    <row r="205">
      <c r="Z205" s="4"/>
      <c r="AA205" s="4"/>
    </row>
    <row r="206">
      <c r="Z206" s="4"/>
      <c r="AA206" s="4"/>
    </row>
    <row r="207">
      <c r="Z207" s="4"/>
      <c r="AA207" s="4"/>
    </row>
    <row r="208">
      <c r="Z208" s="4"/>
      <c r="AA208" s="4"/>
    </row>
    <row r="209">
      <c r="Z209" s="4"/>
      <c r="AA209" s="4"/>
    </row>
    <row r="210">
      <c r="Z210" s="4"/>
      <c r="AA210" s="4"/>
    </row>
    <row r="211">
      <c r="Z211" s="4"/>
      <c r="AA211" s="4"/>
    </row>
    <row r="212">
      <c r="Z212" s="4"/>
      <c r="AA212" s="4"/>
    </row>
    <row r="213">
      <c r="Z213" s="4"/>
      <c r="AA213" s="4"/>
    </row>
    <row r="214">
      <c r="Z214" s="4"/>
      <c r="AA214" s="4"/>
    </row>
    <row r="215">
      <c r="Z215" s="4"/>
      <c r="AA215" s="4"/>
    </row>
    <row r="216">
      <c r="Z216" s="4"/>
      <c r="AA216" s="4"/>
    </row>
    <row r="217">
      <c r="Z217" s="4"/>
      <c r="AA217" s="4"/>
    </row>
    <row r="218">
      <c r="Z218" s="4"/>
      <c r="AA218" s="4"/>
    </row>
    <row r="219">
      <c r="Z219" s="4"/>
      <c r="AA219" s="4"/>
    </row>
    <row r="220">
      <c r="Z220" s="4"/>
      <c r="AA220" s="4"/>
    </row>
    <row r="221">
      <c r="Z221" s="4"/>
      <c r="AA221" s="4"/>
    </row>
    <row r="222">
      <c r="Z222" s="4"/>
      <c r="AA222" s="4"/>
    </row>
    <row r="223">
      <c r="Z223" s="4"/>
      <c r="AA223" s="4"/>
    </row>
    <row r="224">
      <c r="Z224" s="4"/>
      <c r="AA224" s="4"/>
    </row>
    <row r="225">
      <c r="Z225" s="4"/>
      <c r="AA225" s="4"/>
    </row>
    <row r="226">
      <c r="Z226" s="4"/>
      <c r="AA226" s="4"/>
    </row>
    <row r="227">
      <c r="Z227" s="4"/>
      <c r="AA227" s="4"/>
    </row>
    <row r="228">
      <c r="Z228" s="4"/>
      <c r="AA228" s="4"/>
    </row>
    <row r="229">
      <c r="Z229" s="4"/>
      <c r="AA229" s="4"/>
    </row>
    <row r="230">
      <c r="Z230" s="4"/>
      <c r="AA230" s="4"/>
    </row>
    <row r="231">
      <c r="Z231" s="4"/>
      <c r="AA231" s="4"/>
    </row>
    <row r="232">
      <c r="Z232" s="4"/>
      <c r="AA232" s="4"/>
    </row>
    <row r="233">
      <c r="Z233" s="4"/>
      <c r="AA233" s="4"/>
    </row>
    <row r="234">
      <c r="Z234" s="4"/>
      <c r="AA234" s="4"/>
    </row>
    <row r="235">
      <c r="Z235" s="4"/>
      <c r="AA235" s="4"/>
    </row>
    <row r="236">
      <c r="Z236" s="4"/>
      <c r="AA236" s="4"/>
    </row>
    <row r="237">
      <c r="Z237" s="4"/>
      <c r="AA237" s="4"/>
    </row>
    <row r="238">
      <c r="Z238" s="4"/>
      <c r="AA238" s="4"/>
    </row>
    <row r="239">
      <c r="Z239" s="4"/>
      <c r="AA239" s="4"/>
    </row>
    <row r="240">
      <c r="Z240" s="4"/>
      <c r="AA240" s="4"/>
    </row>
    <row r="241">
      <c r="Z241" s="4"/>
      <c r="AA241" s="4"/>
    </row>
    <row r="242">
      <c r="Z242" s="4"/>
      <c r="AA242" s="4"/>
    </row>
    <row r="243">
      <c r="Z243" s="4"/>
      <c r="AA243" s="4"/>
    </row>
    <row r="244">
      <c r="Z244" s="4"/>
      <c r="AA244" s="4"/>
    </row>
    <row r="245">
      <c r="Z245" s="4"/>
      <c r="AA245" s="4"/>
    </row>
    <row r="246">
      <c r="Z246" s="4"/>
      <c r="AA246" s="4"/>
    </row>
    <row r="247">
      <c r="Z247" s="4"/>
      <c r="AA247" s="4"/>
    </row>
    <row r="248">
      <c r="Z248" s="4"/>
      <c r="AA248" s="4"/>
    </row>
    <row r="249">
      <c r="Z249" s="4"/>
      <c r="AA249" s="4"/>
    </row>
    <row r="250">
      <c r="Z250" s="4"/>
      <c r="AA250" s="4"/>
    </row>
    <row r="251">
      <c r="Z251" s="4"/>
      <c r="AA251" s="4"/>
    </row>
    <row r="252">
      <c r="Z252" s="4"/>
      <c r="AA252" s="4"/>
    </row>
    <row r="253">
      <c r="Z253" s="4"/>
      <c r="AA253" s="4"/>
    </row>
    <row r="254">
      <c r="Z254" s="4"/>
      <c r="AA254" s="4"/>
    </row>
    <row r="255">
      <c r="Z255" s="4"/>
      <c r="AA255" s="4"/>
    </row>
    <row r="256">
      <c r="Z256" s="4"/>
      <c r="AA256" s="4"/>
    </row>
    <row r="257">
      <c r="Z257" s="4"/>
      <c r="AA257" s="4"/>
    </row>
    <row r="258">
      <c r="Z258" s="4"/>
      <c r="AA258" s="4"/>
    </row>
    <row r="259">
      <c r="Z259" s="4"/>
      <c r="AA259" s="4"/>
    </row>
    <row r="260">
      <c r="Z260" s="4"/>
      <c r="AA260" s="4"/>
    </row>
    <row r="261">
      <c r="Z261" s="4"/>
      <c r="AA261" s="4"/>
    </row>
    <row r="262">
      <c r="Z262" s="4"/>
      <c r="AA262" s="4"/>
    </row>
    <row r="263">
      <c r="Z263" s="4"/>
      <c r="AA263" s="4"/>
    </row>
    <row r="264">
      <c r="Z264" s="4"/>
      <c r="AA264" s="4"/>
    </row>
    <row r="265">
      <c r="Z265" s="4"/>
      <c r="AA265" s="4"/>
    </row>
    <row r="266">
      <c r="Z266" s="4"/>
      <c r="AA266" s="4"/>
    </row>
    <row r="267">
      <c r="Z267" s="4"/>
      <c r="AA267" s="4"/>
    </row>
    <row r="268">
      <c r="Z268" s="4"/>
      <c r="AA268" s="4"/>
    </row>
    <row r="269">
      <c r="Z269" s="4"/>
      <c r="AA269" s="4"/>
    </row>
    <row r="270">
      <c r="Z270" s="4"/>
      <c r="AA270" s="4"/>
    </row>
    <row r="271">
      <c r="Z271" s="4"/>
      <c r="AA271" s="4"/>
    </row>
    <row r="272">
      <c r="Z272" s="4"/>
      <c r="AA272" s="4"/>
    </row>
    <row r="273">
      <c r="Z273" s="4"/>
      <c r="AA273" s="4"/>
    </row>
    <row r="274">
      <c r="Z274" s="4"/>
      <c r="AA274" s="4"/>
    </row>
    <row r="275">
      <c r="Z275" s="4"/>
      <c r="AA275" s="4"/>
    </row>
    <row r="276">
      <c r="Z276" s="4"/>
      <c r="AA276" s="4"/>
    </row>
    <row r="277">
      <c r="Z277" s="4"/>
      <c r="AA277" s="4"/>
    </row>
    <row r="278">
      <c r="Z278" s="4"/>
      <c r="AA278" s="4"/>
    </row>
    <row r="279">
      <c r="Z279" s="4"/>
      <c r="AA279" s="4"/>
    </row>
    <row r="280">
      <c r="Z280" s="4"/>
      <c r="AA280" s="4"/>
    </row>
    <row r="281">
      <c r="Z281" s="4"/>
      <c r="AA281" s="4"/>
    </row>
    <row r="282">
      <c r="Z282" s="4"/>
      <c r="AA282" s="4"/>
    </row>
    <row r="283">
      <c r="Z283" s="4"/>
      <c r="AA283" s="4"/>
    </row>
    <row r="284">
      <c r="Z284" s="4"/>
      <c r="AA284" s="4"/>
    </row>
    <row r="285">
      <c r="Z285" s="4"/>
      <c r="AA285" s="4"/>
    </row>
    <row r="286">
      <c r="Z286" s="4"/>
      <c r="AA286" s="4"/>
    </row>
    <row r="287">
      <c r="Z287" s="4"/>
      <c r="AA287" s="4"/>
    </row>
    <row r="288">
      <c r="Z288" s="4"/>
      <c r="AA288" s="4"/>
    </row>
    <row r="289">
      <c r="Z289" s="4"/>
      <c r="AA289" s="4"/>
    </row>
    <row r="290">
      <c r="Z290" s="4"/>
      <c r="AA290" s="4"/>
    </row>
    <row r="291">
      <c r="Z291" s="4"/>
      <c r="AA291" s="4"/>
    </row>
    <row r="292">
      <c r="Z292" s="4"/>
      <c r="AA292" s="4"/>
    </row>
    <row r="293">
      <c r="Z293" s="4"/>
      <c r="AA293" s="4"/>
    </row>
    <row r="294">
      <c r="Z294" s="4"/>
      <c r="AA294" s="4"/>
    </row>
    <row r="295">
      <c r="Z295" s="4"/>
      <c r="AA295" s="4"/>
    </row>
    <row r="296">
      <c r="Z296" s="4"/>
      <c r="AA296" s="4"/>
    </row>
    <row r="297">
      <c r="Z297" s="4"/>
      <c r="AA297" s="4"/>
    </row>
    <row r="298">
      <c r="Z298" s="4"/>
      <c r="AA298" s="4"/>
    </row>
    <row r="299">
      <c r="Z299" s="4"/>
      <c r="AA299" s="4"/>
    </row>
    <row r="300">
      <c r="Z300" s="4"/>
      <c r="AA300" s="4"/>
    </row>
    <row r="301">
      <c r="Z301" s="4"/>
      <c r="AA301" s="4"/>
    </row>
    <row r="302">
      <c r="Z302" s="4"/>
      <c r="AA302" s="4"/>
    </row>
    <row r="303">
      <c r="Z303" s="4"/>
      <c r="AA303" s="4"/>
    </row>
    <row r="304">
      <c r="Z304" s="4"/>
      <c r="AA304" s="4"/>
    </row>
    <row r="305">
      <c r="Z305" s="4"/>
      <c r="AA305" s="4"/>
    </row>
    <row r="306">
      <c r="Z306" s="4"/>
      <c r="AA306" s="4"/>
    </row>
    <row r="307">
      <c r="Z307" s="4"/>
      <c r="AA307" s="4"/>
    </row>
    <row r="308">
      <c r="Z308" s="4"/>
      <c r="AA308" s="4"/>
    </row>
    <row r="309">
      <c r="Z309" s="4"/>
      <c r="AA309" s="4"/>
    </row>
    <row r="310">
      <c r="Z310" s="4"/>
      <c r="AA310" s="4"/>
    </row>
    <row r="311">
      <c r="Z311" s="4"/>
      <c r="AA311" s="4"/>
    </row>
    <row r="312">
      <c r="Z312" s="4"/>
      <c r="AA312" s="4"/>
    </row>
    <row r="313">
      <c r="Z313" s="4"/>
      <c r="AA313" s="4"/>
    </row>
    <row r="314">
      <c r="Z314" s="4"/>
      <c r="AA314" s="4"/>
    </row>
    <row r="315">
      <c r="Z315" s="4"/>
      <c r="AA315" s="4"/>
    </row>
    <row r="316">
      <c r="Z316" s="4"/>
      <c r="AA316" s="4"/>
    </row>
    <row r="317">
      <c r="Z317" s="4"/>
      <c r="AA317" s="4"/>
    </row>
    <row r="318">
      <c r="Z318" s="4"/>
      <c r="AA318" s="4"/>
    </row>
    <row r="319">
      <c r="Z319" s="4"/>
      <c r="AA319" s="4"/>
    </row>
    <row r="320">
      <c r="Z320" s="4"/>
      <c r="AA320" s="4"/>
    </row>
    <row r="321">
      <c r="Z321" s="4"/>
      <c r="AA321" s="4"/>
    </row>
    <row r="322">
      <c r="Z322" s="4"/>
      <c r="AA322" s="4"/>
    </row>
    <row r="323">
      <c r="Z323" s="4"/>
      <c r="AA323" s="4"/>
    </row>
    <row r="324">
      <c r="Z324" s="4"/>
      <c r="AA324" s="4"/>
    </row>
    <row r="325">
      <c r="Z325" s="4"/>
      <c r="AA325" s="4"/>
    </row>
    <row r="326">
      <c r="Z326" s="4"/>
      <c r="AA326" s="4"/>
    </row>
    <row r="327">
      <c r="Z327" s="4"/>
      <c r="AA327" s="4"/>
    </row>
    <row r="328">
      <c r="Z328" s="4"/>
      <c r="AA328" s="4"/>
    </row>
    <row r="329">
      <c r="Z329" s="4"/>
      <c r="AA329" s="4"/>
    </row>
    <row r="330">
      <c r="Z330" s="4"/>
      <c r="AA330" s="4"/>
    </row>
    <row r="331">
      <c r="Z331" s="4"/>
      <c r="AA331" s="4"/>
    </row>
    <row r="332">
      <c r="Z332" s="4"/>
      <c r="AA332" s="4"/>
    </row>
    <row r="333">
      <c r="Z333" s="4"/>
      <c r="AA333" s="4"/>
    </row>
    <row r="334">
      <c r="Z334" s="4"/>
      <c r="AA334" s="4"/>
    </row>
    <row r="335">
      <c r="Z335" s="4"/>
      <c r="AA335" s="4"/>
    </row>
    <row r="336">
      <c r="Z336" s="4"/>
      <c r="AA336" s="4"/>
    </row>
    <row r="337">
      <c r="Z337" s="4"/>
      <c r="AA337" s="4"/>
    </row>
    <row r="338">
      <c r="Z338" s="4"/>
      <c r="AA338" s="4"/>
    </row>
    <row r="339">
      <c r="Z339" s="4"/>
      <c r="AA339" s="4"/>
    </row>
    <row r="340">
      <c r="Z340" s="4"/>
      <c r="AA340" s="4"/>
    </row>
    <row r="341">
      <c r="Z341" s="4"/>
      <c r="AA341" s="4"/>
    </row>
    <row r="342">
      <c r="Z342" s="4"/>
      <c r="AA342" s="4"/>
    </row>
    <row r="343">
      <c r="Z343" s="4"/>
      <c r="AA343" s="4"/>
    </row>
    <row r="344">
      <c r="Z344" s="4"/>
      <c r="AA344" s="4"/>
    </row>
    <row r="345">
      <c r="Z345" s="4"/>
      <c r="AA345" s="4"/>
    </row>
    <row r="346">
      <c r="Z346" s="4"/>
      <c r="AA346" s="4"/>
    </row>
    <row r="347">
      <c r="Z347" s="4"/>
      <c r="AA347" s="4"/>
    </row>
    <row r="348">
      <c r="Z348" s="4"/>
      <c r="AA348" s="4"/>
    </row>
    <row r="349">
      <c r="Z349" s="4"/>
      <c r="AA349" s="4"/>
    </row>
    <row r="350">
      <c r="Z350" s="4"/>
      <c r="AA350" s="4"/>
    </row>
    <row r="351">
      <c r="Z351" s="4"/>
      <c r="AA351" s="4"/>
    </row>
    <row r="352">
      <c r="Z352" s="4"/>
      <c r="AA352" s="4"/>
    </row>
    <row r="353">
      <c r="Z353" s="4"/>
      <c r="AA353" s="4"/>
    </row>
    <row r="354">
      <c r="Z354" s="4"/>
      <c r="AA354" s="4"/>
    </row>
    <row r="355">
      <c r="Z355" s="4"/>
      <c r="AA355" s="4"/>
    </row>
    <row r="356">
      <c r="Z356" s="4"/>
      <c r="AA356" s="4"/>
    </row>
    <row r="357">
      <c r="Z357" s="4"/>
      <c r="AA357" s="4"/>
    </row>
    <row r="358">
      <c r="Z358" s="4"/>
      <c r="AA358" s="4"/>
    </row>
    <row r="359">
      <c r="Z359" s="4"/>
      <c r="AA359" s="4"/>
    </row>
    <row r="360">
      <c r="Z360" s="4"/>
      <c r="AA360" s="4"/>
    </row>
    <row r="361">
      <c r="Z361" s="4"/>
      <c r="AA361" s="4"/>
    </row>
    <row r="362">
      <c r="Z362" s="4"/>
      <c r="AA362" s="4"/>
    </row>
    <row r="363">
      <c r="Z363" s="4"/>
      <c r="AA363" s="4"/>
    </row>
    <row r="364">
      <c r="Z364" s="4"/>
      <c r="AA364" s="4"/>
    </row>
    <row r="365">
      <c r="Z365" s="4"/>
      <c r="AA365" s="4"/>
    </row>
    <row r="366">
      <c r="Z366" s="4"/>
      <c r="AA366" s="4"/>
    </row>
    <row r="367">
      <c r="Z367" s="4"/>
      <c r="AA367" s="4"/>
    </row>
    <row r="368">
      <c r="Z368" s="4"/>
      <c r="AA368" s="4"/>
    </row>
    <row r="369">
      <c r="Z369" s="4"/>
      <c r="AA369" s="4"/>
    </row>
    <row r="370">
      <c r="Z370" s="4"/>
      <c r="AA370" s="4"/>
    </row>
    <row r="371">
      <c r="Z371" s="4"/>
      <c r="AA371" s="4"/>
    </row>
    <row r="372">
      <c r="Z372" s="4"/>
      <c r="AA372" s="4"/>
    </row>
    <row r="373">
      <c r="Z373" s="4"/>
      <c r="AA373" s="4"/>
    </row>
    <row r="374">
      <c r="Z374" s="4"/>
      <c r="AA374" s="4"/>
    </row>
    <row r="375">
      <c r="Z375" s="4"/>
      <c r="AA375" s="4"/>
    </row>
    <row r="376">
      <c r="Z376" s="4"/>
      <c r="AA376" s="4"/>
    </row>
    <row r="377">
      <c r="Z377" s="4"/>
      <c r="AA377" s="4"/>
    </row>
    <row r="378">
      <c r="Z378" s="4"/>
      <c r="AA378" s="4"/>
    </row>
    <row r="379">
      <c r="Z379" s="4"/>
      <c r="AA379" s="4"/>
    </row>
    <row r="380">
      <c r="Z380" s="4"/>
      <c r="AA380" s="4"/>
    </row>
    <row r="381">
      <c r="Z381" s="4"/>
      <c r="AA381" s="4"/>
    </row>
    <row r="382">
      <c r="Z382" s="4"/>
      <c r="AA382" s="4"/>
    </row>
    <row r="383">
      <c r="Z383" s="4"/>
      <c r="AA383" s="4"/>
    </row>
    <row r="384">
      <c r="Z384" s="4"/>
      <c r="AA384" s="4"/>
    </row>
    <row r="385">
      <c r="Z385" s="4"/>
      <c r="AA385" s="4"/>
    </row>
    <row r="386">
      <c r="Z386" s="4"/>
      <c r="AA386" s="4"/>
    </row>
    <row r="387">
      <c r="Z387" s="4"/>
      <c r="AA387" s="4"/>
    </row>
    <row r="388">
      <c r="Z388" s="4"/>
      <c r="AA388" s="4"/>
    </row>
    <row r="389">
      <c r="Z389" s="4"/>
      <c r="AA389" s="4"/>
    </row>
    <row r="390">
      <c r="Z390" s="4"/>
      <c r="AA390" s="4"/>
    </row>
    <row r="391">
      <c r="Z391" s="4"/>
      <c r="AA391" s="4"/>
    </row>
    <row r="392">
      <c r="Z392" s="4"/>
      <c r="AA392" s="4"/>
    </row>
    <row r="393">
      <c r="Z393" s="4"/>
      <c r="AA393" s="4"/>
    </row>
    <row r="394">
      <c r="Z394" s="4"/>
      <c r="AA394" s="4"/>
    </row>
    <row r="395">
      <c r="Z395" s="4"/>
      <c r="AA395" s="4"/>
    </row>
    <row r="396">
      <c r="Z396" s="4"/>
      <c r="AA396" s="4"/>
    </row>
    <row r="397">
      <c r="Z397" s="4"/>
      <c r="AA397" s="4"/>
    </row>
    <row r="398">
      <c r="Z398" s="4"/>
      <c r="AA398" s="4"/>
    </row>
    <row r="399">
      <c r="Z399" s="4"/>
      <c r="AA399" s="4"/>
    </row>
    <row r="400">
      <c r="Z400" s="4"/>
      <c r="AA400" s="4"/>
    </row>
    <row r="401">
      <c r="Z401" s="4"/>
      <c r="AA401" s="4"/>
    </row>
    <row r="402">
      <c r="Z402" s="4"/>
      <c r="AA402" s="4"/>
    </row>
    <row r="403">
      <c r="Z403" s="4"/>
      <c r="AA403" s="4"/>
    </row>
    <row r="404">
      <c r="Z404" s="4"/>
      <c r="AA404" s="4"/>
    </row>
    <row r="405">
      <c r="Z405" s="4"/>
      <c r="AA405" s="4"/>
    </row>
    <row r="406">
      <c r="Z406" s="4"/>
      <c r="AA406" s="4"/>
    </row>
    <row r="407">
      <c r="Z407" s="4"/>
      <c r="AA407" s="4"/>
    </row>
    <row r="408">
      <c r="Z408" s="4"/>
      <c r="AA408" s="4"/>
    </row>
    <row r="409">
      <c r="Z409" s="4"/>
      <c r="AA409" s="4"/>
    </row>
    <row r="410">
      <c r="Z410" s="4"/>
      <c r="AA410" s="4"/>
    </row>
    <row r="411">
      <c r="Z411" s="4"/>
      <c r="AA411" s="4"/>
    </row>
    <row r="412">
      <c r="Z412" s="4"/>
      <c r="AA412" s="4"/>
    </row>
    <row r="413">
      <c r="Z413" s="4"/>
      <c r="AA413" s="4"/>
    </row>
    <row r="414">
      <c r="Z414" s="4"/>
      <c r="AA414" s="4"/>
    </row>
    <row r="415">
      <c r="Z415" s="4"/>
      <c r="AA415" s="4"/>
    </row>
    <row r="416">
      <c r="Z416" s="4"/>
      <c r="AA416" s="4"/>
    </row>
    <row r="417">
      <c r="Z417" s="4"/>
      <c r="AA417" s="4"/>
    </row>
    <row r="418">
      <c r="Z418" s="4"/>
      <c r="AA418" s="4"/>
    </row>
    <row r="419">
      <c r="Z419" s="4"/>
      <c r="AA419" s="4"/>
    </row>
    <row r="420">
      <c r="Z420" s="4"/>
      <c r="AA420" s="4"/>
    </row>
    <row r="421">
      <c r="Z421" s="4"/>
      <c r="AA421" s="4"/>
    </row>
    <row r="422">
      <c r="Z422" s="4"/>
      <c r="AA422" s="4"/>
    </row>
    <row r="423">
      <c r="Z423" s="4"/>
      <c r="AA423" s="4"/>
    </row>
    <row r="424">
      <c r="Z424" s="4"/>
      <c r="AA424" s="4"/>
    </row>
    <row r="425">
      <c r="Z425" s="4"/>
      <c r="AA425" s="4"/>
    </row>
    <row r="426">
      <c r="Z426" s="4"/>
      <c r="AA426" s="4"/>
    </row>
    <row r="427">
      <c r="Z427" s="4"/>
      <c r="AA427" s="4"/>
    </row>
    <row r="428">
      <c r="Z428" s="4"/>
      <c r="AA428" s="4"/>
    </row>
    <row r="429">
      <c r="Z429" s="4"/>
      <c r="AA429" s="4"/>
    </row>
    <row r="430">
      <c r="Z430" s="4"/>
      <c r="AA430" s="4"/>
    </row>
    <row r="431">
      <c r="Z431" s="4"/>
      <c r="AA431" s="4"/>
    </row>
    <row r="432">
      <c r="Z432" s="4"/>
      <c r="AA432" s="4"/>
    </row>
    <row r="433">
      <c r="Z433" s="4"/>
      <c r="AA433" s="4"/>
    </row>
    <row r="434">
      <c r="Z434" s="4"/>
      <c r="AA434" s="4"/>
    </row>
    <row r="435">
      <c r="Z435" s="4"/>
      <c r="AA435" s="4"/>
    </row>
    <row r="436">
      <c r="Z436" s="4"/>
      <c r="AA436" s="4"/>
    </row>
    <row r="437">
      <c r="Z437" s="4"/>
      <c r="AA437" s="4"/>
    </row>
    <row r="438">
      <c r="Z438" s="4"/>
      <c r="AA438" s="4"/>
    </row>
    <row r="439">
      <c r="Z439" s="4"/>
      <c r="AA439" s="4"/>
    </row>
    <row r="440">
      <c r="Z440" s="4"/>
      <c r="AA440" s="4"/>
    </row>
    <row r="441">
      <c r="Z441" s="4"/>
      <c r="AA441" s="4"/>
    </row>
    <row r="442">
      <c r="Z442" s="4"/>
      <c r="AA442" s="4"/>
    </row>
    <row r="443">
      <c r="Z443" s="4"/>
      <c r="AA443" s="4"/>
    </row>
    <row r="444">
      <c r="Z444" s="4"/>
      <c r="AA444" s="4"/>
    </row>
    <row r="445">
      <c r="Z445" s="4"/>
      <c r="AA445" s="4"/>
    </row>
    <row r="446">
      <c r="Z446" s="4"/>
      <c r="AA446" s="4"/>
    </row>
    <row r="447">
      <c r="Z447" s="4"/>
      <c r="AA447" s="4"/>
    </row>
    <row r="448">
      <c r="Z448" s="4"/>
      <c r="AA448" s="4"/>
    </row>
    <row r="449">
      <c r="Z449" s="4"/>
      <c r="AA449" s="4"/>
    </row>
    <row r="450">
      <c r="Z450" s="4"/>
      <c r="AA450" s="4"/>
    </row>
    <row r="451">
      <c r="Z451" s="4"/>
      <c r="AA451" s="4"/>
    </row>
    <row r="452">
      <c r="Z452" s="4"/>
      <c r="AA452" s="4"/>
    </row>
    <row r="453">
      <c r="Z453" s="4"/>
      <c r="AA453" s="4"/>
    </row>
    <row r="454">
      <c r="Z454" s="4"/>
      <c r="AA454" s="4"/>
    </row>
    <row r="455">
      <c r="Z455" s="4"/>
      <c r="AA455" s="4"/>
    </row>
    <row r="456">
      <c r="Z456" s="4"/>
      <c r="AA456" s="4"/>
    </row>
    <row r="457">
      <c r="Z457" s="4"/>
      <c r="AA457" s="4"/>
    </row>
    <row r="458">
      <c r="Z458" s="4"/>
      <c r="AA458" s="4"/>
    </row>
    <row r="459">
      <c r="Z459" s="4"/>
      <c r="AA459" s="4"/>
    </row>
    <row r="460">
      <c r="Z460" s="4"/>
      <c r="AA460" s="4"/>
    </row>
    <row r="461">
      <c r="Z461" s="4"/>
      <c r="AA461" s="4"/>
    </row>
    <row r="462">
      <c r="Z462" s="4"/>
      <c r="AA462" s="4"/>
    </row>
    <row r="463">
      <c r="Z463" s="4"/>
      <c r="AA463" s="4"/>
    </row>
    <row r="464">
      <c r="Z464" s="4"/>
      <c r="AA464" s="4"/>
    </row>
    <row r="465">
      <c r="Z465" s="4"/>
      <c r="AA465" s="4"/>
    </row>
    <row r="466">
      <c r="Z466" s="4"/>
      <c r="AA466" s="4"/>
    </row>
    <row r="467">
      <c r="Z467" s="4"/>
      <c r="AA467" s="4"/>
    </row>
    <row r="468">
      <c r="Z468" s="4"/>
      <c r="AA468" s="4"/>
    </row>
    <row r="469">
      <c r="Z469" s="4"/>
      <c r="AA469" s="4"/>
    </row>
    <row r="470">
      <c r="Z470" s="4"/>
      <c r="AA470" s="4"/>
    </row>
    <row r="471">
      <c r="Z471" s="4"/>
      <c r="AA471" s="4"/>
    </row>
    <row r="472">
      <c r="Z472" s="4"/>
      <c r="AA472" s="4"/>
    </row>
    <row r="473">
      <c r="Z473" s="4"/>
      <c r="AA473" s="4"/>
    </row>
    <row r="474">
      <c r="Z474" s="4"/>
      <c r="AA474" s="4"/>
    </row>
    <row r="475">
      <c r="Z475" s="4"/>
      <c r="AA475" s="4"/>
    </row>
    <row r="476">
      <c r="Z476" s="4"/>
      <c r="AA476" s="4"/>
    </row>
    <row r="477">
      <c r="Z477" s="4"/>
      <c r="AA477" s="4"/>
    </row>
    <row r="478">
      <c r="Z478" s="4"/>
      <c r="AA478" s="4"/>
    </row>
    <row r="479">
      <c r="Z479" s="4"/>
      <c r="AA479" s="4"/>
    </row>
    <row r="480">
      <c r="Z480" s="4"/>
      <c r="AA480" s="4"/>
    </row>
    <row r="481">
      <c r="Z481" s="4"/>
      <c r="AA481" s="4"/>
    </row>
    <row r="482">
      <c r="Z482" s="4"/>
      <c r="AA482" s="4"/>
    </row>
    <row r="483">
      <c r="Z483" s="4"/>
      <c r="AA483" s="4"/>
    </row>
    <row r="484">
      <c r="Z484" s="4"/>
      <c r="AA484" s="4"/>
    </row>
    <row r="485">
      <c r="Z485" s="4"/>
      <c r="AA485" s="4"/>
    </row>
    <row r="486">
      <c r="Z486" s="4"/>
      <c r="AA486" s="4"/>
    </row>
    <row r="487">
      <c r="Z487" s="4"/>
      <c r="AA487" s="4"/>
    </row>
    <row r="488">
      <c r="Z488" s="4"/>
      <c r="AA488" s="4"/>
    </row>
    <row r="489">
      <c r="Z489" s="4"/>
      <c r="AA489" s="4"/>
    </row>
    <row r="490">
      <c r="Z490" s="4"/>
      <c r="AA490" s="4"/>
    </row>
    <row r="491">
      <c r="Z491" s="4"/>
      <c r="AA491" s="4"/>
    </row>
    <row r="492">
      <c r="Z492" s="4"/>
      <c r="AA492" s="4"/>
    </row>
    <row r="493">
      <c r="Z493" s="4"/>
      <c r="AA493" s="4"/>
    </row>
    <row r="494">
      <c r="Z494" s="4"/>
      <c r="AA494" s="4"/>
    </row>
    <row r="495">
      <c r="Z495" s="4"/>
      <c r="AA495" s="4"/>
    </row>
    <row r="496">
      <c r="Z496" s="4"/>
      <c r="AA496" s="4"/>
    </row>
    <row r="497">
      <c r="Z497" s="4"/>
      <c r="AA497" s="4"/>
    </row>
    <row r="498">
      <c r="Z498" s="4"/>
      <c r="AA498" s="4"/>
    </row>
    <row r="499">
      <c r="Z499" s="4"/>
      <c r="AA499" s="4"/>
    </row>
    <row r="500">
      <c r="Z500" s="4"/>
      <c r="AA500" s="4"/>
    </row>
    <row r="501">
      <c r="Z501" s="4"/>
      <c r="AA501" s="4"/>
    </row>
    <row r="502">
      <c r="Z502" s="4"/>
      <c r="AA502" s="4"/>
    </row>
    <row r="503">
      <c r="Z503" s="4"/>
      <c r="AA503" s="4"/>
    </row>
    <row r="504">
      <c r="Z504" s="4"/>
      <c r="AA504" s="4"/>
    </row>
    <row r="505">
      <c r="Z505" s="4"/>
      <c r="AA505" s="4"/>
    </row>
    <row r="506">
      <c r="Z506" s="4"/>
      <c r="AA506" s="4"/>
    </row>
    <row r="507">
      <c r="Z507" s="4"/>
      <c r="AA507" s="4"/>
    </row>
    <row r="508">
      <c r="Z508" s="4"/>
      <c r="AA508" s="4"/>
    </row>
    <row r="509">
      <c r="Z509" s="4"/>
      <c r="AA509" s="4"/>
    </row>
    <row r="510">
      <c r="Z510" s="4"/>
      <c r="AA510" s="4"/>
    </row>
    <row r="511">
      <c r="Z511" s="4"/>
      <c r="AA511" s="4"/>
    </row>
    <row r="512">
      <c r="Z512" s="4"/>
      <c r="AA512" s="4"/>
    </row>
    <row r="513">
      <c r="Z513" s="4"/>
      <c r="AA513" s="4"/>
    </row>
    <row r="514">
      <c r="Z514" s="4"/>
      <c r="AA514" s="4"/>
    </row>
    <row r="515">
      <c r="Z515" s="4"/>
      <c r="AA515" s="4"/>
    </row>
    <row r="516">
      <c r="Z516" s="4"/>
      <c r="AA516" s="4"/>
    </row>
    <row r="517">
      <c r="Z517" s="4"/>
      <c r="AA517" s="4"/>
    </row>
    <row r="518">
      <c r="Z518" s="4"/>
      <c r="AA518" s="4"/>
    </row>
    <row r="519">
      <c r="Z519" s="4"/>
      <c r="AA519" s="4"/>
    </row>
    <row r="520">
      <c r="Z520" s="4"/>
      <c r="AA520" s="4"/>
    </row>
    <row r="521">
      <c r="Z521" s="4"/>
      <c r="AA521" s="4"/>
    </row>
    <row r="522">
      <c r="Z522" s="4"/>
      <c r="AA522" s="4"/>
    </row>
    <row r="523">
      <c r="Z523" s="4"/>
      <c r="AA523" s="4"/>
    </row>
    <row r="524">
      <c r="Z524" s="4"/>
      <c r="AA524" s="4"/>
    </row>
    <row r="525">
      <c r="Z525" s="4"/>
      <c r="AA525" s="4"/>
    </row>
    <row r="526">
      <c r="Z526" s="4"/>
      <c r="AA526" s="4"/>
    </row>
    <row r="527">
      <c r="Z527" s="4"/>
      <c r="AA527" s="4"/>
    </row>
    <row r="528">
      <c r="Z528" s="4"/>
      <c r="AA528" s="4"/>
    </row>
    <row r="529">
      <c r="Z529" s="4"/>
      <c r="AA529" s="4"/>
    </row>
    <row r="530">
      <c r="Z530" s="4"/>
      <c r="AA530" s="4"/>
    </row>
    <row r="531">
      <c r="Z531" s="4"/>
      <c r="AA531" s="4"/>
    </row>
    <row r="532">
      <c r="Z532" s="4"/>
      <c r="AA532" s="4"/>
    </row>
    <row r="533">
      <c r="Z533" s="4"/>
      <c r="AA533" s="4"/>
    </row>
    <row r="534">
      <c r="Z534" s="4"/>
      <c r="AA534" s="4"/>
    </row>
    <row r="535">
      <c r="Z535" s="4"/>
      <c r="AA535" s="4"/>
    </row>
    <row r="536">
      <c r="Z536" s="4"/>
      <c r="AA536" s="4"/>
    </row>
    <row r="537">
      <c r="Z537" s="4"/>
      <c r="AA537" s="4"/>
    </row>
    <row r="538">
      <c r="Z538" s="4"/>
      <c r="AA538" s="4"/>
    </row>
    <row r="539">
      <c r="Z539" s="4"/>
      <c r="AA539" s="4"/>
    </row>
    <row r="540">
      <c r="Z540" s="4"/>
      <c r="AA540" s="4"/>
    </row>
    <row r="541">
      <c r="Z541" s="4"/>
      <c r="AA541" s="4"/>
    </row>
    <row r="542">
      <c r="Z542" s="4"/>
      <c r="AA542" s="4"/>
    </row>
    <row r="543">
      <c r="Z543" s="4"/>
      <c r="AA543" s="4"/>
    </row>
    <row r="544">
      <c r="Z544" s="4"/>
      <c r="AA544" s="4"/>
    </row>
    <row r="545">
      <c r="Z545" s="4"/>
      <c r="AA545" s="4"/>
    </row>
    <row r="546">
      <c r="Z546" s="4"/>
      <c r="AA546" s="4"/>
    </row>
    <row r="547">
      <c r="Z547" s="4"/>
      <c r="AA547" s="4"/>
    </row>
    <row r="548">
      <c r="Z548" s="4"/>
      <c r="AA548" s="4"/>
    </row>
    <row r="549">
      <c r="Z549" s="4"/>
      <c r="AA549" s="4"/>
    </row>
    <row r="550">
      <c r="Z550" s="4"/>
      <c r="AA550" s="4"/>
    </row>
    <row r="551">
      <c r="Z551" s="4"/>
      <c r="AA551" s="4"/>
    </row>
    <row r="552">
      <c r="Z552" s="4"/>
      <c r="AA552" s="4"/>
    </row>
    <row r="553">
      <c r="Z553" s="4"/>
      <c r="AA553" s="4"/>
    </row>
    <row r="554">
      <c r="Z554" s="4"/>
      <c r="AA554" s="4"/>
    </row>
    <row r="555">
      <c r="Z555" s="4"/>
      <c r="AA555" s="4"/>
    </row>
    <row r="556">
      <c r="Z556" s="4"/>
      <c r="AA556" s="4"/>
    </row>
    <row r="557">
      <c r="Z557" s="4"/>
      <c r="AA557" s="4"/>
    </row>
    <row r="558">
      <c r="Z558" s="4"/>
      <c r="AA558" s="4"/>
    </row>
    <row r="559">
      <c r="Z559" s="4"/>
      <c r="AA559" s="4"/>
    </row>
    <row r="560">
      <c r="Z560" s="4"/>
      <c r="AA560" s="4"/>
    </row>
    <row r="561">
      <c r="Z561" s="4"/>
      <c r="AA561" s="4"/>
    </row>
    <row r="562">
      <c r="Z562" s="4"/>
      <c r="AA562" s="4"/>
    </row>
    <row r="563">
      <c r="Z563" s="4"/>
      <c r="AA563" s="4"/>
    </row>
    <row r="564">
      <c r="Z564" s="4"/>
      <c r="AA564" s="4"/>
    </row>
    <row r="565">
      <c r="Z565" s="4"/>
      <c r="AA565" s="4"/>
    </row>
    <row r="566">
      <c r="Z566" s="4"/>
      <c r="AA566" s="4"/>
    </row>
    <row r="567">
      <c r="Z567" s="4"/>
      <c r="AA567" s="4"/>
    </row>
    <row r="568">
      <c r="Z568" s="4"/>
      <c r="AA568" s="4"/>
    </row>
    <row r="569">
      <c r="Z569" s="4"/>
      <c r="AA569" s="4"/>
    </row>
    <row r="570">
      <c r="Z570" s="4"/>
      <c r="AA570" s="4"/>
    </row>
    <row r="571">
      <c r="Z571" s="4"/>
      <c r="AA571" s="4"/>
    </row>
    <row r="572">
      <c r="Z572" s="4"/>
      <c r="AA572" s="4"/>
    </row>
    <row r="573">
      <c r="Z573" s="4"/>
      <c r="AA573" s="4"/>
    </row>
    <row r="574">
      <c r="Z574" s="4"/>
      <c r="AA574" s="4"/>
    </row>
    <row r="575">
      <c r="Z575" s="4"/>
      <c r="AA575" s="4"/>
    </row>
    <row r="576">
      <c r="Z576" s="4"/>
      <c r="AA576" s="4"/>
    </row>
    <row r="577">
      <c r="Z577" s="4"/>
      <c r="AA577" s="4"/>
    </row>
    <row r="578">
      <c r="Z578" s="4"/>
      <c r="AA578" s="4"/>
    </row>
    <row r="579">
      <c r="Z579" s="4"/>
      <c r="AA579" s="4"/>
    </row>
    <row r="580">
      <c r="Z580" s="4"/>
      <c r="AA580" s="4"/>
    </row>
    <row r="581">
      <c r="Z581" s="4"/>
      <c r="AA581" s="4"/>
    </row>
    <row r="582">
      <c r="Z582" s="4"/>
      <c r="AA582" s="4"/>
    </row>
    <row r="583">
      <c r="Z583" s="4"/>
      <c r="AA583" s="4"/>
    </row>
    <row r="584">
      <c r="Z584" s="4"/>
      <c r="AA584" s="4"/>
    </row>
    <row r="585">
      <c r="Z585" s="4"/>
      <c r="AA585" s="4"/>
    </row>
    <row r="586">
      <c r="Z586" s="4"/>
      <c r="AA586" s="4"/>
    </row>
    <row r="587">
      <c r="Z587" s="4"/>
      <c r="AA587" s="4"/>
    </row>
    <row r="588">
      <c r="Z588" s="4"/>
      <c r="AA588" s="4"/>
    </row>
    <row r="589">
      <c r="Z589" s="4"/>
      <c r="AA589" s="4"/>
    </row>
    <row r="590">
      <c r="Z590" s="4"/>
      <c r="AA590" s="4"/>
    </row>
    <row r="591">
      <c r="Z591" s="4"/>
      <c r="AA591" s="4"/>
    </row>
    <row r="592">
      <c r="Z592" s="4"/>
      <c r="AA592" s="4"/>
    </row>
    <row r="593">
      <c r="Z593" s="4"/>
      <c r="AA593" s="4"/>
    </row>
    <row r="594">
      <c r="Z594" s="4"/>
      <c r="AA594" s="4"/>
    </row>
    <row r="595">
      <c r="Z595" s="4"/>
      <c r="AA595" s="4"/>
    </row>
    <row r="596">
      <c r="Z596" s="4"/>
      <c r="AA596" s="4"/>
    </row>
    <row r="597">
      <c r="Z597" s="4"/>
      <c r="AA597" s="4"/>
    </row>
    <row r="598">
      <c r="Z598" s="4"/>
      <c r="AA598" s="4"/>
    </row>
    <row r="599">
      <c r="Z599" s="4"/>
      <c r="AA599" s="4"/>
    </row>
    <row r="600">
      <c r="Z600" s="4"/>
      <c r="AA600" s="4"/>
    </row>
    <row r="601">
      <c r="Z601" s="4"/>
      <c r="AA601" s="4"/>
    </row>
    <row r="602">
      <c r="Z602" s="4"/>
      <c r="AA602" s="4"/>
    </row>
    <row r="603">
      <c r="Z603" s="4"/>
      <c r="AA603" s="4"/>
    </row>
    <row r="604">
      <c r="Z604" s="4"/>
      <c r="AA604" s="4"/>
    </row>
    <row r="605">
      <c r="Z605" s="4"/>
      <c r="AA605" s="4"/>
    </row>
    <row r="606">
      <c r="Z606" s="4"/>
      <c r="AA606" s="4"/>
    </row>
    <row r="607">
      <c r="Z607" s="4"/>
      <c r="AA607" s="4"/>
    </row>
    <row r="608">
      <c r="Z608" s="4"/>
      <c r="AA608" s="4"/>
    </row>
    <row r="609">
      <c r="Z609" s="4"/>
      <c r="AA609" s="4"/>
    </row>
    <row r="610">
      <c r="Z610" s="4"/>
      <c r="AA610" s="4"/>
    </row>
    <row r="611">
      <c r="Z611" s="4"/>
      <c r="AA611" s="4"/>
    </row>
    <row r="612">
      <c r="Z612" s="4"/>
      <c r="AA612" s="4"/>
    </row>
    <row r="613">
      <c r="Z613" s="4"/>
      <c r="AA613" s="4"/>
    </row>
    <row r="614">
      <c r="Z614" s="4"/>
      <c r="AA614" s="4"/>
    </row>
    <row r="615">
      <c r="Z615" s="4"/>
      <c r="AA615" s="4"/>
    </row>
    <row r="616">
      <c r="Z616" s="4"/>
      <c r="AA616" s="4"/>
    </row>
    <row r="617">
      <c r="Z617" s="4"/>
      <c r="AA617" s="4"/>
    </row>
    <row r="618">
      <c r="Z618" s="4"/>
      <c r="AA618" s="4"/>
    </row>
    <row r="619">
      <c r="Z619" s="4"/>
      <c r="AA619" s="4"/>
    </row>
    <row r="620">
      <c r="Z620" s="4"/>
      <c r="AA620" s="4"/>
    </row>
    <row r="621">
      <c r="Z621" s="4"/>
      <c r="AA621" s="4"/>
    </row>
    <row r="622">
      <c r="Z622" s="4"/>
      <c r="AA622" s="4"/>
    </row>
    <row r="623">
      <c r="Z623" s="4"/>
      <c r="AA623" s="4"/>
    </row>
    <row r="624">
      <c r="Z624" s="4"/>
      <c r="AA624" s="4"/>
    </row>
    <row r="625">
      <c r="Z625" s="4"/>
      <c r="AA625" s="4"/>
    </row>
    <row r="626">
      <c r="Z626" s="4"/>
      <c r="AA626" s="4"/>
    </row>
    <row r="627">
      <c r="Z627" s="4"/>
      <c r="AA627" s="4"/>
    </row>
    <row r="628">
      <c r="Z628" s="4"/>
      <c r="AA628" s="4"/>
    </row>
    <row r="629">
      <c r="Z629" s="4"/>
      <c r="AA629" s="4"/>
    </row>
    <row r="630">
      <c r="Z630" s="4"/>
      <c r="AA630" s="4"/>
    </row>
    <row r="631">
      <c r="Z631" s="4"/>
      <c r="AA631" s="4"/>
    </row>
    <row r="632">
      <c r="Z632" s="4"/>
      <c r="AA632" s="4"/>
    </row>
    <row r="633">
      <c r="Z633" s="4"/>
      <c r="AA633" s="4"/>
    </row>
    <row r="634">
      <c r="Z634" s="4"/>
      <c r="AA634" s="4"/>
    </row>
    <row r="635">
      <c r="Z635" s="4"/>
      <c r="AA635" s="4"/>
    </row>
    <row r="636">
      <c r="Z636" s="4"/>
      <c r="AA636" s="4"/>
    </row>
    <row r="637">
      <c r="Z637" s="4"/>
      <c r="AA637" s="4"/>
    </row>
    <row r="638">
      <c r="Z638" s="4"/>
      <c r="AA638" s="4"/>
    </row>
    <row r="639">
      <c r="Z639" s="4"/>
      <c r="AA639" s="4"/>
    </row>
    <row r="640">
      <c r="Z640" s="4"/>
      <c r="AA640" s="4"/>
    </row>
    <row r="641">
      <c r="Z641" s="4"/>
      <c r="AA641" s="4"/>
    </row>
    <row r="642">
      <c r="Z642" s="4"/>
      <c r="AA642" s="4"/>
    </row>
    <row r="643">
      <c r="Z643" s="4"/>
      <c r="AA643" s="4"/>
    </row>
    <row r="644">
      <c r="Z644" s="4"/>
      <c r="AA644" s="4"/>
    </row>
    <row r="645">
      <c r="Z645" s="4"/>
      <c r="AA645" s="4"/>
    </row>
    <row r="646">
      <c r="Z646" s="4"/>
      <c r="AA646" s="4"/>
    </row>
    <row r="647">
      <c r="Z647" s="4"/>
      <c r="AA647" s="4"/>
    </row>
    <row r="648">
      <c r="Z648" s="4"/>
      <c r="AA648" s="4"/>
    </row>
    <row r="649">
      <c r="Z649" s="4"/>
      <c r="AA649" s="4"/>
    </row>
    <row r="650">
      <c r="Z650" s="4"/>
      <c r="AA650" s="4"/>
    </row>
    <row r="651">
      <c r="Z651" s="4"/>
      <c r="AA651" s="4"/>
    </row>
    <row r="652">
      <c r="Z652" s="4"/>
      <c r="AA652" s="4"/>
    </row>
    <row r="653">
      <c r="Z653" s="4"/>
      <c r="AA653" s="4"/>
    </row>
    <row r="654">
      <c r="Z654" s="4"/>
      <c r="AA654" s="4"/>
    </row>
    <row r="655">
      <c r="Z655" s="4"/>
      <c r="AA655" s="4"/>
    </row>
    <row r="656">
      <c r="Z656" s="4"/>
      <c r="AA656" s="4"/>
    </row>
    <row r="657">
      <c r="Z657" s="4"/>
      <c r="AA657" s="4"/>
    </row>
    <row r="658">
      <c r="Z658" s="4"/>
      <c r="AA658" s="4"/>
    </row>
    <row r="659">
      <c r="Z659" s="4"/>
      <c r="AA659" s="4"/>
    </row>
    <row r="660">
      <c r="Z660" s="4"/>
      <c r="AA660" s="4"/>
    </row>
    <row r="661">
      <c r="Z661" s="4"/>
      <c r="AA661" s="4"/>
    </row>
    <row r="662">
      <c r="Z662" s="4"/>
      <c r="AA662" s="4"/>
    </row>
    <row r="663">
      <c r="Z663" s="4"/>
      <c r="AA663" s="4"/>
    </row>
    <row r="664">
      <c r="Z664" s="4"/>
      <c r="AA664" s="4"/>
    </row>
    <row r="665">
      <c r="Z665" s="4"/>
      <c r="AA665" s="4"/>
    </row>
    <row r="666">
      <c r="Z666" s="4"/>
      <c r="AA666" s="4"/>
    </row>
    <row r="667">
      <c r="Z667" s="4"/>
      <c r="AA667" s="4"/>
    </row>
    <row r="668">
      <c r="Z668" s="4"/>
      <c r="AA668" s="4"/>
    </row>
    <row r="669">
      <c r="Z669" s="4"/>
      <c r="AA669" s="4"/>
    </row>
    <row r="670">
      <c r="Z670" s="4"/>
      <c r="AA670" s="4"/>
    </row>
    <row r="671">
      <c r="Z671" s="4"/>
      <c r="AA671" s="4"/>
    </row>
    <row r="672">
      <c r="Z672" s="4"/>
      <c r="AA672" s="4"/>
    </row>
    <row r="673">
      <c r="Z673" s="4"/>
      <c r="AA673" s="4"/>
    </row>
    <row r="674">
      <c r="Z674" s="4"/>
      <c r="AA674" s="4"/>
    </row>
    <row r="675">
      <c r="Z675" s="4"/>
      <c r="AA675" s="4"/>
    </row>
    <row r="676">
      <c r="Z676" s="4"/>
      <c r="AA676" s="4"/>
    </row>
    <row r="677">
      <c r="Z677" s="4"/>
      <c r="AA677" s="4"/>
    </row>
    <row r="678">
      <c r="Z678" s="4"/>
      <c r="AA678" s="4"/>
    </row>
    <row r="679">
      <c r="Z679" s="4"/>
      <c r="AA679" s="4"/>
    </row>
    <row r="680">
      <c r="Z680" s="4"/>
      <c r="AA680" s="4"/>
    </row>
    <row r="681">
      <c r="Z681" s="4"/>
      <c r="AA681" s="4"/>
    </row>
    <row r="682">
      <c r="Z682" s="4"/>
      <c r="AA682" s="4"/>
    </row>
    <row r="683">
      <c r="Z683" s="4"/>
      <c r="AA683" s="4"/>
    </row>
    <row r="684">
      <c r="Z684" s="4"/>
      <c r="AA684" s="4"/>
    </row>
    <row r="685">
      <c r="Z685" s="4"/>
      <c r="AA685" s="4"/>
    </row>
    <row r="686">
      <c r="Z686" s="4"/>
      <c r="AA686" s="4"/>
    </row>
    <row r="687">
      <c r="Z687" s="4"/>
      <c r="AA687" s="4"/>
    </row>
    <row r="688">
      <c r="Z688" s="4"/>
      <c r="AA688" s="4"/>
    </row>
    <row r="689">
      <c r="Z689" s="4"/>
      <c r="AA689" s="4"/>
    </row>
    <row r="690">
      <c r="Z690" s="4"/>
      <c r="AA690" s="4"/>
    </row>
    <row r="691">
      <c r="Z691" s="4"/>
      <c r="AA691" s="4"/>
    </row>
    <row r="692">
      <c r="Z692" s="4"/>
      <c r="AA692" s="4"/>
    </row>
    <row r="693">
      <c r="Z693" s="4"/>
      <c r="AA693" s="4"/>
    </row>
    <row r="694">
      <c r="Z694" s="4"/>
      <c r="AA694" s="4"/>
    </row>
    <row r="695">
      <c r="Z695" s="4"/>
      <c r="AA695" s="4"/>
    </row>
    <row r="696">
      <c r="Z696" s="4"/>
      <c r="AA696" s="4"/>
    </row>
    <row r="697">
      <c r="Z697" s="4"/>
      <c r="AA697" s="4"/>
    </row>
    <row r="698">
      <c r="Z698" s="4"/>
      <c r="AA698" s="4"/>
    </row>
    <row r="699">
      <c r="Z699" s="4"/>
      <c r="AA699" s="4"/>
    </row>
    <row r="700">
      <c r="Z700" s="4"/>
      <c r="AA700" s="4"/>
    </row>
    <row r="701">
      <c r="Z701" s="4"/>
      <c r="AA701" s="4"/>
    </row>
    <row r="702">
      <c r="Z702" s="4"/>
      <c r="AA702" s="4"/>
    </row>
    <row r="703">
      <c r="Z703" s="4"/>
      <c r="AA703" s="4"/>
    </row>
    <row r="704">
      <c r="Z704" s="4"/>
      <c r="AA704" s="4"/>
    </row>
    <row r="705">
      <c r="Z705" s="4"/>
      <c r="AA705" s="4"/>
    </row>
    <row r="706">
      <c r="Z706" s="4"/>
      <c r="AA706" s="4"/>
    </row>
    <row r="707">
      <c r="Z707" s="4"/>
      <c r="AA707" s="4"/>
    </row>
    <row r="708">
      <c r="Z708" s="4"/>
      <c r="AA708" s="4"/>
    </row>
    <row r="709">
      <c r="Z709" s="4"/>
      <c r="AA709" s="4"/>
    </row>
    <row r="710">
      <c r="Z710" s="4"/>
      <c r="AA710" s="4"/>
    </row>
    <row r="711">
      <c r="Z711" s="4"/>
      <c r="AA711" s="4"/>
    </row>
    <row r="712">
      <c r="Z712" s="4"/>
      <c r="AA712" s="4"/>
    </row>
    <row r="713">
      <c r="Z713" s="4"/>
      <c r="AA713" s="4"/>
    </row>
    <row r="714">
      <c r="Z714" s="4"/>
      <c r="AA714" s="4"/>
    </row>
    <row r="715">
      <c r="Z715" s="4"/>
      <c r="AA715" s="4"/>
    </row>
    <row r="716">
      <c r="Z716" s="4"/>
      <c r="AA716" s="4"/>
    </row>
    <row r="717">
      <c r="Z717" s="4"/>
      <c r="AA717" s="4"/>
    </row>
    <row r="718">
      <c r="Z718" s="4"/>
      <c r="AA718" s="4"/>
    </row>
    <row r="719">
      <c r="Z719" s="4"/>
      <c r="AA719" s="4"/>
    </row>
    <row r="720">
      <c r="Z720" s="4"/>
      <c r="AA720" s="4"/>
    </row>
    <row r="721">
      <c r="Z721" s="4"/>
      <c r="AA721" s="4"/>
    </row>
    <row r="722">
      <c r="Z722" s="4"/>
      <c r="AA722" s="4"/>
    </row>
    <row r="723">
      <c r="Z723" s="4"/>
      <c r="AA723" s="4"/>
    </row>
    <row r="724">
      <c r="Z724" s="4"/>
      <c r="AA724" s="4"/>
    </row>
    <row r="725">
      <c r="Z725" s="4"/>
      <c r="AA725" s="4"/>
    </row>
    <row r="726">
      <c r="Z726" s="4"/>
      <c r="AA726" s="4"/>
    </row>
    <row r="727">
      <c r="Z727" s="4"/>
      <c r="AA727" s="4"/>
    </row>
    <row r="728">
      <c r="Z728" s="4"/>
      <c r="AA728" s="4"/>
    </row>
    <row r="729">
      <c r="Z729" s="4"/>
      <c r="AA729" s="4"/>
    </row>
    <row r="730">
      <c r="Z730" s="4"/>
      <c r="AA730" s="4"/>
    </row>
    <row r="731">
      <c r="Z731" s="4"/>
      <c r="AA731" s="4"/>
    </row>
    <row r="732">
      <c r="Z732" s="4"/>
      <c r="AA732" s="4"/>
    </row>
    <row r="733">
      <c r="Z733" s="4"/>
      <c r="AA733" s="4"/>
    </row>
    <row r="734">
      <c r="Z734" s="4"/>
      <c r="AA734" s="4"/>
    </row>
    <row r="735">
      <c r="Z735" s="4"/>
      <c r="AA735" s="4"/>
    </row>
    <row r="736">
      <c r="Z736" s="4"/>
      <c r="AA736" s="4"/>
    </row>
    <row r="737">
      <c r="Z737" s="4"/>
      <c r="AA737" s="4"/>
    </row>
    <row r="738">
      <c r="Z738" s="4"/>
      <c r="AA738" s="4"/>
    </row>
    <row r="739">
      <c r="Z739" s="4"/>
      <c r="AA739" s="4"/>
    </row>
    <row r="740">
      <c r="Z740" s="4"/>
      <c r="AA740" s="4"/>
    </row>
    <row r="741">
      <c r="Z741" s="4"/>
      <c r="AA741" s="4"/>
    </row>
    <row r="742">
      <c r="Z742" s="4"/>
      <c r="AA742" s="4"/>
    </row>
    <row r="743">
      <c r="Z743" s="4"/>
      <c r="AA743" s="4"/>
    </row>
    <row r="744">
      <c r="Z744" s="4"/>
      <c r="AA744" s="4"/>
    </row>
    <row r="745">
      <c r="Z745" s="4"/>
      <c r="AA745" s="4"/>
    </row>
    <row r="746">
      <c r="Z746" s="4"/>
      <c r="AA746" s="4"/>
    </row>
    <row r="747">
      <c r="Z747" s="4"/>
      <c r="AA747" s="4"/>
    </row>
    <row r="748">
      <c r="Z748" s="4"/>
      <c r="AA748" s="4"/>
    </row>
    <row r="749">
      <c r="Z749" s="4"/>
      <c r="AA749" s="4"/>
    </row>
    <row r="750">
      <c r="Z750" s="4"/>
      <c r="AA750" s="4"/>
    </row>
    <row r="751">
      <c r="Z751" s="4"/>
      <c r="AA751" s="4"/>
    </row>
    <row r="752">
      <c r="Z752" s="4"/>
      <c r="AA752" s="4"/>
    </row>
    <row r="753">
      <c r="Z753" s="4"/>
      <c r="AA753" s="4"/>
    </row>
    <row r="754">
      <c r="Z754" s="4"/>
      <c r="AA754" s="4"/>
    </row>
    <row r="755">
      <c r="Z755" s="4"/>
      <c r="AA755" s="4"/>
    </row>
    <row r="756">
      <c r="Z756" s="4"/>
      <c r="AA756" s="4"/>
    </row>
    <row r="757">
      <c r="Z757" s="4"/>
      <c r="AA757" s="4"/>
    </row>
    <row r="758">
      <c r="Z758" s="4"/>
      <c r="AA758" s="4"/>
    </row>
    <row r="759">
      <c r="Z759" s="4"/>
      <c r="AA759" s="4"/>
    </row>
    <row r="760">
      <c r="Z760" s="4"/>
      <c r="AA760" s="4"/>
    </row>
    <row r="761">
      <c r="Z761" s="4"/>
      <c r="AA761" s="4"/>
    </row>
    <row r="762">
      <c r="Z762" s="4"/>
      <c r="AA762" s="4"/>
    </row>
    <row r="763">
      <c r="Z763" s="4"/>
      <c r="AA763" s="4"/>
    </row>
    <row r="764">
      <c r="Z764" s="4"/>
      <c r="AA764" s="4"/>
    </row>
    <row r="765">
      <c r="Z765" s="4"/>
      <c r="AA765" s="4"/>
    </row>
    <row r="766">
      <c r="Z766" s="4"/>
      <c r="AA766" s="4"/>
    </row>
    <row r="767">
      <c r="Z767" s="4"/>
      <c r="AA767" s="4"/>
    </row>
    <row r="768">
      <c r="Z768" s="4"/>
      <c r="AA768" s="4"/>
    </row>
    <row r="769">
      <c r="Z769" s="4"/>
      <c r="AA769" s="4"/>
    </row>
    <row r="770">
      <c r="Z770" s="4"/>
      <c r="AA770" s="4"/>
    </row>
    <row r="771">
      <c r="Z771" s="4"/>
      <c r="AA771" s="4"/>
    </row>
    <row r="772">
      <c r="Z772" s="4"/>
      <c r="AA772" s="4"/>
    </row>
    <row r="773">
      <c r="Z773" s="4"/>
      <c r="AA773" s="4"/>
    </row>
    <row r="774">
      <c r="Z774" s="4"/>
      <c r="AA774" s="4"/>
    </row>
    <row r="775">
      <c r="Z775" s="4"/>
      <c r="AA775" s="4"/>
    </row>
    <row r="776">
      <c r="Z776" s="4"/>
      <c r="AA776" s="4"/>
    </row>
    <row r="777">
      <c r="Z777" s="4"/>
      <c r="AA777" s="4"/>
    </row>
    <row r="778">
      <c r="Z778" s="4"/>
      <c r="AA778" s="4"/>
    </row>
    <row r="779">
      <c r="Z779" s="4"/>
      <c r="AA779" s="4"/>
    </row>
    <row r="780">
      <c r="Z780" s="4"/>
      <c r="AA780" s="4"/>
    </row>
    <row r="781">
      <c r="Z781" s="4"/>
      <c r="AA781" s="4"/>
    </row>
    <row r="782">
      <c r="Z782" s="4"/>
      <c r="AA782" s="4"/>
    </row>
    <row r="783">
      <c r="Z783" s="4"/>
      <c r="AA783" s="4"/>
    </row>
    <row r="784">
      <c r="Z784" s="4"/>
      <c r="AA784" s="4"/>
    </row>
    <row r="785">
      <c r="Z785" s="4"/>
      <c r="AA785" s="4"/>
    </row>
    <row r="786">
      <c r="Z786" s="4"/>
      <c r="AA786" s="4"/>
    </row>
    <row r="787">
      <c r="Z787" s="4"/>
      <c r="AA787" s="4"/>
    </row>
    <row r="788">
      <c r="Z788" s="4"/>
      <c r="AA788" s="4"/>
    </row>
    <row r="789">
      <c r="Z789" s="4"/>
      <c r="AA789" s="4"/>
    </row>
    <row r="790">
      <c r="Z790" s="4"/>
      <c r="AA790" s="4"/>
    </row>
    <row r="791">
      <c r="Z791" s="4"/>
      <c r="AA791" s="4"/>
    </row>
    <row r="792">
      <c r="Z792" s="4"/>
      <c r="AA792" s="4"/>
    </row>
    <row r="793">
      <c r="Z793" s="4"/>
      <c r="AA793" s="4"/>
    </row>
    <row r="794">
      <c r="Z794" s="4"/>
      <c r="AA794" s="4"/>
    </row>
    <row r="795">
      <c r="Z795" s="4"/>
      <c r="AA795" s="4"/>
    </row>
    <row r="796">
      <c r="Z796" s="4"/>
      <c r="AA796" s="4"/>
    </row>
    <row r="797">
      <c r="Z797" s="4"/>
      <c r="AA797" s="4"/>
    </row>
    <row r="798">
      <c r="Z798" s="4"/>
      <c r="AA798" s="4"/>
    </row>
    <row r="799">
      <c r="Z799" s="4"/>
      <c r="AA799" s="4"/>
    </row>
    <row r="800">
      <c r="Z800" s="4"/>
      <c r="AA800" s="4"/>
    </row>
    <row r="801">
      <c r="Z801" s="4"/>
      <c r="AA801" s="4"/>
    </row>
    <row r="802">
      <c r="Z802" s="4"/>
      <c r="AA802" s="4"/>
    </row>
    <row r="803">
      <c r="Z803" s="4"/>
      <c r="AA803" s="4"/>
    </row>
    <row r="804">
      <c r="Z804" s="4"/>
      <c r="AA804" s="4"/>
    </row>
    <row r="805">
      <c r="Z805" s="4"/>
      <c r="AA805" s="4"/>
    </row>
    <row r="806">
      <c r="Z806" s="4"/>
      <c r="AA806" s="4"/>
    </row>
    <row r="807">
      <c r="Z807" s="4"/>
      <c r="AA807" s="4"/>
    </row>
    <row r="808">
      <c r="Z808" s="4"/>
      <c r="AA808" s="4"/>
    </row>
    <row r="809">
      <c r="Z809" s="4"/>
      <c r="AA809" s="4"/>
    </row>
    <row r="810">
      <c r="Z810" s="4"/>
      <c r="AA810" s="4"/>
    </row>
    <row r="811">
      <c r="Z811" s="4"/>
      <c r="AA811" s="4"/>
    </row>
    <row r="812">
      <c r="Z812" s="4"/>
      <c r="AA812" s="4"/>
    </row>
    <row r="813">
      <c r="Z813" s="4"/>
      <c r="AA813" s="4"/>
    </row>
    <row r="814">
      <c r="Z814" s="4"/>
      <c r="AA814" s="4"/>
    </row>
    <row r="815">
      <c r="Z815" s="4"/>
      <c r="AA815" s="4"/>
    </row>
    <row r="816">
      <c r="Z816" s="4"/>
      <c r="AA816" s="4"/>
    </row>
    <row r="817">
      <c r="Z817" s="4"/>
      <c r="AA817" s="4"/>
    </row>
    <row r="818">
      <c r="Z818" s="4"/>
      <c r="AA818" s="4"/>
    </row>
    <row r="819">
      <c r="Z819" s="4"/>
      <c r="AA819" s="4"/>
    </row>
    <row r="820">
      <c r="Z820" s="4"/>
      <c r="AA820" s="4"/>
    </row>
    <row r="821">
      <c r="Z821" s="4"/>
      <c r="AA821" s="4"/>
    </row>
    <row r="822">
      <c r="Z822" s="4"/>
      <c r="AA822" s="4"/>
    </row>
    <row r="823">
      <c r="Z823" s="4"/>
      <c r="AA823" s="4"/>
    </row>
    <row r="824">
      <c r="Z824" s="4"/>
      <c r="AA824" s="4"/>
    </row>
    <row r="825">
      <c r="Z825" s="4"/>
      <c r="AA825" s="4"/>
    </row>
    <row r="826">
      <c r="Z826" s="4"/>
      <c r="AA826" s="4"/>
    </row>
    <row r="827">
      <c r="Z827" s="4"/>
      <c r="AA827" s="4"/>
    </row>
    <row r="828">
      <c r="Z828" s="4"/>
      <c r="AA828" s="4"/>
    </row>
    <row r="829">
      <c r="Z829" s="4"/>
      <c r="AA829" s="4"/>
    </row>
    <row r="830">
      <c r="Z830" s="4"/>
      <c r="AA830" s="4"/>
    </row>
    <row r="831">
      <c r="Z831" s="4"/>
      <c r="AA831" s="4"/>
    </row>
    <row r="832">
      <c r="Z832" s="4"/>
      <c r="AA832" s="4"/>
    </row>
    <row r="833">
      <c r="Z833" s="4"/>
      <c r="AA833" s="4"/>
    </row>
    <row r="834">
      <c r="Z834" s="4"/>
      <c r="AA834" s="4"/>
    </row>
    <row r="835">
      <c r="Z835" s="4"/>
      <c r="AA835" s="4"/>
    </row>
    <row r="836">
      <c r="Z836" s="4"/>
      <c r="AA836" s="4"/>
    </row>
    <row r="837">
      <c r="Z837" s="4"/>
      <c r="AA837" s="4"/>
    </row>
    <row r="838">
      <c r="Z838" s="4"/>
      <c r="AA838" s="4"/>
    </row>
    <row r="839">
      <c r="Z839" s="4"/>
      <c r="AA839" s="4"/>
    </row>
    <row r="840">
      <c r="Z840" s="4"/>
      <c r="AA840" s="4"/>
    </row>
    <row r="841">
      <c r="Z841" s="4"/>
      <c r="AA841" s="4"/>
    </row>
    <row r="842">
      <c r="Z842" s="4"/>
      <c r="AA842" s="4"/>
    </row>
    <row r="843">
      <c r="Z843" s="4"/>
      <c r="AA843" s="4"/>
    </row>
    <row r="844">
      <c r="Z844" s="4"/>
      <c r="AA844" s="4"/>
    </row>
    <row r="845">
      <c r="Z845" s="4"/>
      <c r="AA845" s="4"/>
    </row>
    <row r="846">
      <c r="Z846" s="4"/>
      <c r="AA846" s="4"/>
    </row>
    <row r="847">
      <c r="Z847" s="4"/>
      <c r="AA847" s="4"/>
    </row>
    <row r="848">
      <c r="Z848" s="4"/>
      <c r="AA848" s="4"/>
    </row>
    <row r="849">
      <c r="Z849" s="4"/>
      <c r="AA849" s="4"/>
    </row>
    <row r="850">
      <c r="Z850" s="4"/>
      <c r="AA850" s="4"/>
    </row>
    <row r="851">
      <c r="Z851" s="4"/>
      <c r="AA851" s="4"/>
    </row>
    <row r="852">
      <c r="Z852" s="4"/>
      <c r="AA852" s="4"/>
    </row>
    <row r="853">
      <c r="Z853" s="4"/>
      <c r="AA853" s="4"/>
    </row>
    <row r="854">
      <c r="Z854" s="4"/>
      <c r="AA854" s="4"/>
    </row>
    <row r="855">
      <c r="Z855" s="4"/>
      <c r="AA855" s="4"/>
    </row>
    <row r="856">
      <c r="Z856" s="4"/>
      <c r="AA856" s="4"/>
    </row>
    <row r="857">
      <c r="Z857" s="4"/>
      <c r="AA857" s="4"/>
    </row>
    <row r="858">
      <c r="Z858" s="4"/>
      <c r="AA858" s="4"/>
    </row>
    <row r="859">
      <c r="Z859" s="4"/>
      <c r="AA859" s="4"/>
    </row>
    <row r="860">
      <c r="Z860" s="4"/>
      <c r="AA860" s="4"/>
    </row>
    <row r="861">
      <c r="Z861" s="4"/>
      <c r="AA861" s="4"/>
    </row>
    <row r="862">
      <c r="Z862" s="4"/>
      <c r="AA862" s="4"/>
    </row>
    <row r="863">
      <c r="Z863" s="4"/>
      <c r="AA863" s="4"/>
    </row>
    <row r="864">
      <c r="Z864" s="4"/>
      <c r="AA864" s="4"/>
    </row>
    <row r="865">
      <c r="Z865" s="4"/>
      <c r="AA865" s="4"/>
    </row>
    <row r="866">
      <c r="Z866" s="4"/>
      <c r="AA866" s="4"/>
    </row>
    <row r="867">
      <c r="Z867" s="4"/>
      <c r="AA867" s="4"/>
    </row>
    <row r="868">
      <c r="Z868" s="4"/>
      <c r="AA868" s="4"/>
    </row>
    <row r="869">
      <c r="Z869" s="4"/>
      <c r="AA869" s="4"/>
    </row>
    <row r="870">
      <c r="Z870" s="4"/>
      <c r="AA870" s="4"/>
    </row>
    <row r="871">
      <c r="Z871" s="4"/>
      <c r="AA871" s="4"/>
    </row>
    <row r="872">
      <c r="Z872" s="4"/>
      <c r="AA872" s="4"/>
    </row>
    <row r="873">
      <c r="Z873" s="4"/>
      <c r="AA873" s="4"/>
    </row>
    <row r="874">
      <c r="Z874" s="4"/>
      <c r="AA874" s="4"/>
    </row>
    <row r="875">
      <c r="Z875" s="4"/>
      <c r="AA875" s="4"/>
    </row>
    <row r="876">
      <c r="Z876" s="4"/>
      <c r="AA876" s="4"/>
    </row>
    <row r="877">
      <c r="Z877" s="4"/>
      <c r="AA877" s="4"/>
    </row>
    <row r="878">
      <c r="Z878" s="4"/>
      <c r="AA878" s="4"/>
    </row>
    <row r="879">
      <c r="Z879" s="4"/>
      <c r="AA879" s="4"/>
    </row>
    <row r="880">
      <c r="Z880" s="4"/>
      <c r="AA880" s="4"/>
    </row>
    <row r="881">
      <c r="Z881" s="4"/>
      <c r="AA881" s="4"/>
    </row>
    <row r="882">
      <c r="Z882" s="4"/>
      <c r="AA882" s="4"/>
    </row>
    <row r="883">
      <c r="Z883" s="4"/>
      <c r="AA883" s="4"/>
    </row>
    <row r="884">
      <c r="Z884" s="4"/>
      <c r="AA884" s="4"/>
    </row>
    <row r="885">
      <c r="Z885" s="4"/>
      <c r="AA885" s="4"/>
    </row>
    <row r="886">
      <c r="Z886" s="4"/>
      <c r="AA886" s="4"/>
    </row>
    <row r="887">
      <c r="Z887" s="4"/>
      <c r="AA887" s="4"/>
    </row>
    <row r="888">
      <c r="Z888" s="4"/>
      <c r="AA888" s="4"/>
    </row>
    <row r="889">
      <c r="Z889" s="4"/>
      <c r="AA889" s="4"/>
    </row>
    <row r="890">
      <c r="Z890" s="4"/>
      <c r="AA890" s="4"/>
    </row>
    <row r="891">
      <c r="Z891" s="4"/>
      <c r="AA891" s="4"/>
    </row>
    <row r="892">
      <c r="Z892" s="4"/>
      <c r="AA892" s="4"/>
    </row>
    <row r="893">
      <c r="Z893" s="4"/>
      <c r="AA893" s="4"/>
    </row>
    <row r="894">
      <c r="Z894" s="4"/>
      <c r="AA894" s="4"/>
    </row>
    <row r="895">
      <c r="Z895" s="4"/>
      <c r="AA895" s="4"/>
    </row>
    <row r="896">
      <c r="Z896" s="4"/>
      <c r="AA896" s="4"/>
    </row>
    <row r="897">
      <c r="Z897" s="4"/>
      <c r="AA897" s="4"/>
    </row>
    <row r="898">
      <c r="Z898" s="4"/>
      <c r="AA898" s="4"/>
    </row>
    <row r="899">
      <c r="Z899" s="4"/>
      <c r="AA899" s="4"/>
    </row>
    <row r="900">
      <c r="Z900" s="4"/>
      <c r="AA900" s="4"/>
    </row>
    <row r="901">
      <c r="Z901" s="4"/>
      <c r="AA901" s="4"/>
    </row>
    <row r="902">
      <c r="Z902" s="4"/>
      <c r="AA902" s="4"/>
    </row>
    <row r="903">
      <c r="Z903" s="4"/>
      <c r="AA903" s="4"/>
    </row>
    <row r="904">
      <c r="Z904" s="4"/>
      <c r="AA904" s="4"/>
    </row>
    <row r="905">
      <c r="Z905" s="4"/>
      <c r="AA905" s="4"/>
    </row>
    <row r="906">
      <c r="Z906" s="4"/>
      <c r="AA906" s="4"/>
    </row>
    <row r="907">
      <c r="Z907" s="4"/>
      <c r="AA907" s="4"/>
    </row>
    <row r="908">
      <c r="Z908" s="4"/>
      <c r="AA908" s="4"/>
    </row>
    <row r="909">
      <c r="Z909" s="4"/>
      <c r="AA909" s="4"/>
    </row>
    <row r="910">
      <c r="Z910" s="4"/>
      <c r="AA910" s="4"/>
    </row>
    <row r="911">
      <c r="Z911" s="4"/>
      <c r="AA911" s="4"/>
    </row>
    <row r="912">
      <c r="Z912" s="4"/>
      <c r="AA912" s="4"/>
    </row>
    <row r="913">
      <c r="Z913" s="4"/>
      <c r="AA913" s="4"/>
    </row>
    <row r="914">
      <c r="Z914" s="4"/>
      <c r="AA914" s="4"/>
    </row>
    <row r="915">
      <c r="Z915" s="4"/>
      <c r="AA915" s="4"/>
    </row>
    <row r="916">
      <c r="Z916" s="4"/>
      <c r="AA916" s="4"/>
    </row>
    <row r="917">
      <c r="Z917" s="4"/>
      <c r="AA917" s="4"/>
    </row>
    <row r="918">
      <c r="Z918" s="4"/>
      <c r="AA918" s="4"/>
    </row>
    <row r="919">
      <c r="Z919" s="4"/>
      <c r="AA919" s="4"/>
    </row>
    <row r="920">
      <c r="Z920" s="4"/>
      <c r="AA920" s="4"/>
    </row>
    <row r="921">
      <c r="Z921" s="4"/>
      <c r="AA921" s="4"/>
    </row>
    <row r="922">
      <c r="Z922" s="4"/>
      <c r="AA922" s="4"/>
    </row>
    <row r="923">
      <c r="Z923" s="4"/>
      <c r="AA923" s="4"/>
    </row>
    <row r="924">
      <c r="Z924" s="4"/>
      <c r="AA924" s="4"/>
    </row>
    <row r="925">
      <c r="Z925" s="4"/>
      <c r="AA925" s="4"/>
    </row>
    <row r="926">
      <c r="Z926" s="4"/>
      <c r="AA926" s="4"/>
    </row>
    <row r="927">
      <c r="Z927" s="4"/>
      <c r="AA927" s="4"/>
    </row>
    <row r="928">
      <c r="Z928" s="4"/>
      <c r="AA928" s="4"/>
    </row>
    <row r="929">
      <c r="Z929" s="4"/>
      <c r="AA929" s="4"/>
    </row>
    <row r="930">
      <c r="Z930" s="4"/>
      <c r="AA930" s="4"/>
    </row>
    <row r="931">
      <c r="Z931" s="4"/>
      <c r="AA931" s="4"/>
    </row>
    <row r="932">
      <c r="Z932" s="4"/>
      <c r="AA932" s="4"/>
    </row>
    <row r="933">
      <c r="Z933" s="4"/>
      <c r="AA933" s="4"/>
    </row>
    <row r="934">
      <c r="Z934" s="4"/>
      <c r="AA934" s="4"/>
    </row>
    <row r="935">
      <c r="Z935" s="4"/>
      <c r="AA935" s="4"/>
    </row>
    <row r="936">
      <c r="Z936" s="4"/>
      <c r="AA936" s="4"/>
    </row>
    <row r="937">
      <c r="Z937" s="4"/>
      <c r="AA937" s="4"/>
    </row>
    <row r="938">
      <c r="Z938" s="4"/>
      <c r="AA938" s="4"/>
    </row>
    <row r="939">
      <c r="Z939" s="4"/>
      <c r="AA939" s="4"/>
    </row>
    <row r="940">
      <c r="Z940" s="4"/>
      <c r="AA940" s="4"/>
    </row>
    <row r="941">
      <c r="Z941" s="4"/>
      <c r="AA941" s="4"/>
    </row>
    <row r="942">
      <c r="Z942" s="4"/>
      <c r="AA942" s="4"/>
    </row>
    <row r="943">
      <c r="Z943" s="4"/>
      <c r="AA943" s="4"/>
    </row>
    <row r="944">
      <c r="Z944" s="4"/>
      <c r="AA944" s="4"/>
    </row>
    <row r="945">
      <c r="Z945" s="4"/>
      <c r="AA945" s="4"/>
    </row>
    <row r="946">
      <c r="Z946" s="4"/>
      <c r="AA946" s="4"/>
    </row>
    <row r="947">
      <c r="Z947" s="4"/>
      <c r="AA947" s="4"/>
    </row>
    <row r="948">
      <c r="Z948" s="4"/>
      <c r="AA948" s="4"/>
    </row>
    <row r="949">
      <c r="Z949" s="4"/>
      <c r="AA949" s="4"/>
    </row>
    <row r="950">
      <c r="Z950" s="4"/>
      <c r="AA950" s="4"/>
    </row>
    <row r="951">
      <c r="Z951" s="4"/>
      <c r="AA951" s="4"/>
    </row>
    <row r="952">
      <c r="Z952" s="4"/>
      <c r="AA952" s="4"/>
    </row>
    <row r="953">
      <c r="Z953" s="4"/>
      <c r="AA953" s="4"/>
    </row>
    <row r="954">
      <c r="Z954" s="4"/>
      <c r="AA954" s="4"/>
    </row>
    <row r="955">
      <c r="Z955" s="4"/>
      <c r="AA955" s="4"/>
    </row>
    <row r="956">
      <c r="Z956" s="4"/>
      <c r="AA956" s="4"/>
    </row>
    <row r="957">
      <c r="Z957" s="4"/>
      <c r="AA957" s="4"/>
    </row>
    <row r="958">
      <c r="Z958" s="4"/>
      <c r="AA958" s="4"/>
    </row>
    <row r="959">
      <c r="Z959" s="4"/>
      <c r="AA959" s="4"/>
    </row>
    <row r="960">
      <c r="Z960" s="4"/>
      <c r="AA960" s="4"/>
    </row>
    <row r="961">
      <c r="Z961" s="4"/>
      <c r="AA961" s="4"/>
    </row>
    <row r="962">
      <c r="Z962" s="4"/>
      <c r="AA962" s="4"/>
    </row>
    <row r="963">
      <c r="Z963" s="4"/>
      <c r="AA963" s="4"/>
    </row>
    <row r="964">
      <c r="Z964" s="4"/>
      <c r="AA964" s="4"/>
    </row>
    <row r="965">
      <c r="Z965" s="4"/>
      <c r="AA965" s="4"/>
    </row>
    <row r="966">
      <c r="Z966" s="4"/>
      <c r="AA966" s="4"/>
    </row>
    <row r="967">
      <c r="Z967" s="4"/>
      <c r="AA967" s="4"/>
    </row>
    <row r="968">
      <c r="Z968" s="4"/>
      <c r="AA968" s="4"/>
    </row>
    <row r="969">
      <c r="Z969" s="4"/>
      <c r="AA969" s="4"/>
    </row>
    <row r="970">
      <c r="Z970" s="4"/>
      <c r="AA970" s="4"/>
    </row>
    <row r="971">
      <c r="Z971" s="4"/>
      <c r="AA971" s="4"/>
    </row>
    <row r="972">
      <c r="Z972" s="4"/>
      <c r="AA972" s="4"/>
    </row>
    <row r="973">
      <c r="Z973" s="4"/>
      <c r="AA973" s="4"/>
    </row>
    <row r="974">
      <c r="Z974" s="4"/>
      <c r="AA974" s="4"/>
    </row>
    <row r="975">
      <c r="Z975" s="4"/>
      <c r="AA975" s="4"/>
    </row>
    <row r="976">
      <c r="Z976" s="4"/>
      <c r="AA976" s="4"/>
    </row>
    <row r="977">
      <c r="Z977" s="4"/>
      <c r="AA977" s="4"/>
    </row>
    <row r="978">
      <c r="Z978" s="4"/>
      <c r="AA978" s="4"/>
    </row>
    <row r="979">
      <c r="Z979" s="4"/>
      <c r="AA979" s="4"/>
    </row>
    <row r="980">
      <c r="Z980" s="4"/>
      <c r="AA980" s="4"/>
    </row>
    <row r="981">
      <c r="Z981" s="4"/>
      <c r="AA981" s="4"/>
    </row>
    <row r="982">
      <c r="Z982" s="4"/>
      <c r="AA982" s="4"/>
    </row>
    <row r="983">
      <c r="Z983" s="4"/>
      <c r="AA983" s="4"/>
    </row>
    <row r="984">
      <c r="Z984" s="4"/>
      <c r="AA984" s="4"/>
    </row>
    <row r="985">
      <c r="Z985" s="4"/>
      <c r="AA985" s="4"/>
    </row>
    <row r="986">
      <c r="Z986" s="4"/>
      <c r="AA986" s="4"/>
    </row>
    <row r="987">
      <c r="Z987" s="4"/>
      <c r="AA987" s="4"/>
    </row>
    <row r="988">
      <c r="Z988" s="4"/>
      <c r="AA988" s="4"/>
    </row>
    <row r="989">
      <c r="Z989" s="4"/>
      <c r="AA989" s="4"/>
    </row>
    <row r="990">
      <c r="Z990" s="4"/>
      <c r="AA990" s="4"/>
    </row>
    <row r="991">
      <c r="Z991" s="4"/>
      <c r="AA991" s="4"/>
    </row>
    <row r="992">
      <c r="Z992" s="4"/>
      <c r="AA992" s="4"/>
    </row>
    <row r="993">
      <c r="Z993" s="4"/>
      <c r="AA993" s="4"/>
    </row>
    <row r="994">
      <c r="Z994" s="4"/>
      <c r="AA994" s="4"/>
    </row>
    <row r="995">
      <c r="Z995" s="4"/>
      <c r="AA995" s="4"/>
    </row>
    <row r="996">
      <c r="Z996" s="4"/>
      <c r="AA996" s="4"/>
    </row>
    <row r="997">
      <c r="Z997" s="4"/>
      <c r="AA997" s="4"/>
    </row>
    <row r="998">
      <c r="Z998" s="4"/>
      <c r="AA998" s="4"/>
    </row>
    <row r="999">
      <c r="Z999" s="4"/>
      <c r="AA999" s="4"/>
    </row>
    <row r="1000">
      <c r="Z1000" s="4"/>
      <c r="A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387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</row>
    <row r="2">
      <c r="A2" s="1" t="s">
        <v>10</v>
      </c>
      <c r="B2" s="1">
        <v>1090.9</v>
      </c>
      <c r="C2" s="1">
        <v>15.0</v>
      </c>
      <c r="D2" s="2">
        <f>Market!C2*C2</f>
        <v>1875</v>
      </c>
      <c r="E2" s="1">
        <v>20.0</v>
      </c>
      <c r="F2" s="2">
        <f>Market!C3*E2</f>
        <v>8260</v>
      </c>
      <c r="G2" s="1">
        <v>500.0</v>
      </c>
      <c r="H2" s="2">
        <f t="shared" ref="H2:H7" si="1">SUM(D2:G2)</f>
        <v>10655</v>
      </c>
      <c r="I2" s="2">
        <f t="shared" ref="I2:I7" si="2">H2+H2*0.12</f>
        <v>11933.6</v>
      </c>
      <c r="J2" s="1">
        <f>Market!G2</f>
        <v>11600</v>
      </c>
      <c r="K2" s="2">
        <f t="shared" ref="K2:K7" si="3">J2-I2</f>
        <v>-333.6</v>
      </c>
      <c r="L2" s="2">
        <f t="shared" ref="L2:L7" si="4">K2/(B2/3600)</f>
        <v>-1100.889174</v>
      </c>
    </row>
    <row r="3">
      <c r="A3" s="1" t="s">
        <v>14</v>
      </c>
      <c r="B3" s="1">
        <v>1090.9</v>
      </c>
      <c r="C3" s="1">
        <v>25.0</v>
      </c>
      <c r="D3" s="2">
        <f>Market!C4*C3</f>
        <v>2050</v>
      </c>
      <c r="E3" s="1">
        <v>20.0</v>
      </c>
      <c r="F3" s="2">
        <f>Market!C5*E3</f>
        <v>2100</v>
      </c>
      <c r="G3" s="1">
        <v>500.0</v>
      </c>
      <c r="H3" s="2">
        <f t="shared" si="1"/>
        <v>4670</v>
      </c>
      <c r="I3" s="2">
        <f t="shared" si="2"/>
        <v>5230.4</v>
      </c>
      <c r="J3" s="1">
        <f>Market!G3</f>
        <v>5500</v>
      </c>
      <c r="K3" s="2">
        <f t="shared" si="3"/>
        <v>269.6</v>
      </c>
      <c r="L3" s="2">
        <f t="shared" si="4"/>
        <v>889.6874141</v>
      </c>
    </row>
    <row r="4">
      <c r="A4" s="1" t="s">
        <v>18</v>
      </c>
      <c r="B4" s="1">
        <v>1090.9</v>
      </c>
      <c r="C4" s="1">
        <v>15.0</v>
      </c>
      <c r="D4" s="2">
        <f>Market!C6*C4</f>
        <v>5025</v>
      </c>
      <c r="E4" s="1">
        <v>12.0</v>
      </c>
      <c r="F4" s="2">
        <f>Market!C7*E4</f>
        <v>600</v>
      </c>
      <c r="G4" s="1">
        <v>500.0</v>
      </c>
      <c r="H4" s="2">
        <f t="shared" si="1"/>
        <v>6137</v>
      </c>
      <c r="I4" s="2">
        <f t="shared" si="2"/>
        <v>6873.44</v>
      </c>
      <c r="J4" s="1">
        <f>Market!G4</f>
        <v>7150</v>
      </c>
      <c r="K4" s="2">
        <f t="shared" si="3"/>
        <v>276.56</v>
      </c>
      <c r="L4" s="2">
        <f t="shared" si="4"/>
        <v>912.6556055</v>
      </c>
    </row>
    <row r="5">
      <c r="A5" s="1" t="s">
        <v>22</v>
      </c>
      <c r="B5" s="1">
        <v>818.2</v>
      </c>
      <c r="C5" s="1">
        <v>11.0</v>
      </c>
      <c r="D5" s="2">
        <f>Market!C8*C5</f>
        <v>1760</v>
      </c>
      <c r="E5" s="1">
        <v>0.0</v>
      </c>
      <c r="F5" s="1">
        <v>0.0</v>
      </c>
      <c r="G5" s="1">
        <v>200.0</v>
      </c>
      <c r="H5" s="2">
        <f t="shared" si="1"/>
        <v>1960</v>
      </c>
      <c r="I5" s="2">
        <f t="shared" si="2"/>
        <v>2195.2</v>
      </c>
      <c r="J5" s="1">
        <f>Market!G5</f>
        <v>2291</v>
      </c>
      <c r="K5" s="2">
        <f t="shared" si="3"/>
        <v>95.8</v>
      </c>
      <c r="L5" s="2">
        <f t="shared" si="4"/>
        <v>421.5106331</v>
      </c>
    </row>
    <row r="6">
      <c r="A6" s="1" t="s">
        <v>26</v>
      </c>
      <c r="B6" s="1">
        <v>1090.9</v>
      </c>
      <c r="C6" s="1">
        <v>14.0</v>
      </c>
      <c r="D6" s="2">
        <f>Market!C9*C6</f>
        <v>1344</v>
      </c>
      <c r="E6" s="1">
        <v>60.0</v>
      </c>
      <c r="F6" s="1">
        <f>Market!C10*E6</f>
        <v>2220</v>
      </c>
      <c r="G6" s="1">
        <v>500.0</v>
      </c>
      <c r="H6" s="2">
        <f t="shared" si="1"/>
        <v>4124</v>
      </c>
      <c r="I6" s="2">
        <f t="shared" si="2"/>
        <v>4618.88</v>
      </c>
      <c r="J6" s="1">
        <f>Market!G6</f>
        <v>3100</v>
      </c>
      <c r="K6" s="2">
        <f t="shared" si="3"/>
        <v>-1518.88</v>
      </c>
      <c r="L6" s="2">
        <f t="shared" si="4"/>
        <v>-5012.34577</v>
      </c>
    </row>
    <row r="7">
      <c r="A7" s="1" t="s">
        <v>30</v>
      </c>
      <c r="B7" s="1">
        <v>1090.9</v>
      </c>
      <c r="C7" s="1">
        <v>40.0</v>
      </c>
      <c r="D7" s="2">
        <f>C7*Market!C11</f>
        <v>560</v>
      </c>
      <c r="E7" s="1">
        <v>12.0</v>
      </c>
      <c r="F7" s="2">
        <f>E7*Market!C12</f>
        <v>3480</v>
      </c>
      <c r="G7" s="1">
        <v>500.0</v>
      </c>
      <c r="H7" s="2">
        <f t="shared" si="1"/>
        <v>4552</v>
      </c>
      <c r="I7" s="2">
        <f t="shared" si="2"/>
        <v>5098.24</v>
      </c>
      <c r="J7" s="2">
        <f>Market!G7</f>
        <v>5900</v>
      </c>
      <c r="K7" s="2">
        <f t="shared" si="3"/>
        <v>801.76</v>
      </c>
      <c r="L7" s="2">
        <f t="shared" si="4"/>
        <v>2645.830049</v>
      </c>
    </row>
    <row r="8">
      <c r="A8" s="1" t="s">
        <v>483</v>
      </c>
    </row>
    <row r="9">
      <c r="A9" s="3" t="s">
        <v>484</v>
      </c>
    </row>
    <row r="10">
      <c r="A10" s="1" t="s">
        <v>485</v>
      </c>
    </row>
    <row r="11">
      <c r="A11" s="3" t="s">
        <v>486</v>
      </c>
    </row>
    <row r="12">
      <c r="A12" s="1" t="s">
        <v>487</v>
      </c>
    </row>
    <row r="13">
      <c r="A13" s="1" t="s">
        <v>488</v>
      </c>
    </row>
    <row r="14">
      <c r="A14" s="1" t="s">
        <v>489</v>
      </c>
    </row>
    <row r="15">
      <c r="A15" s="1" t="s">
        <v>490</v>
      </c>
    </row>
    <row r="16">
      <c r="A16" s="1" t="s">
        <v>491</v>
      </c>
      <c r="C16" s="1"/>
    </row>
    <row r="17">
      <c r="A17" s="3" t="s">
        <v>492</v>
      </c>
      <c r="C17" s="1"/>
    </row>
    <row r="18">
      <c r="A18" s="3" t="s">
        <v>493</v>
      </c>
      <c r="C18" s="1"/>
    </row>
    <row r="19">
      <c r="A19" s="3" t="s">
        <v>494</v>
      </c>
      <c r="C19" s="1"/>
    </row>
    <row r="20">
      <c r="A20" s="3" t="s">
        <v>495</v>
      </c>
      <c r="C20" s="1"/>
    </row>
    <row r="21">
      <c r="A21" s="3" t="s">
        <v>496</v>
      </c>
      <c r="C21" s="1"/>
    </row>
    <row r="22">
      <c r="A22" s="3" t="s">
        <v>497</v>
      </c>
      <c r="C22" s="1"/>
    </row>
    <row r="23">
      <c r="A23" s="3" t="s">
        <v>498</v>
      </c>
    </row>
    <row r="24">
      <c r="A24" s="1" t="s">
        <v>499</v>
      </c>
    </row>
    <row r="25">
      <c r="A25" s="1" t="s">
        <v>500</v>
      </c>
    </row>
    <row r="26">
      <c r="A26" s="1" t="s">
        <v>501</v>
      </c>
    </row>
    <row r="27">
      <c r="A27" s="1" t="s">
        <v>502</v>
      </c>
    </row>
    <row r="28">
      <c r="A28" s="1" t="s">
        <v>503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2.75"/>
  </cols>
  <sheetData>
    <row r="1">
      <c r="A1" s="1" t="s">
        <v>4</v>
      </c>
      <c r="B1" s="1" t="s">
        <v>387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</row>
    <row r="2">
      <c r="A2" s="1" t="s">
        <v>11</v>
      </c>
      <c r="B2" s="1">
        <v>8.3</v>
      </c>
      <c r="C2" s="1">
        <v>0.0</v>
      </c>
      <c r="D2" s="1">
        <v>1.0</v>
      </c>
      <c r="E2" s="2">
        <f t="shared" ref="E2:E13" si="1">D2-C2</f>
        <v>1</v>
      </c>
      <c r="F2" s="2">
        <f t="shared" ref="F2:F13" si="2">E2/(B2/3600)</f>
        <v>433.7349398</v>
      </c>
      <c r="G2" s="1">
        <f>Market!K2</f>
        <v>6</v>
      </c>
      <c r="H2" s="2">
        <f t="shared" ref="H2:H13" si="3">G2-G2*0.12</f>
        <v>5.28</v>
      </c>
      <c r="I2" s="2">
        <f t="shared" ref="I2:I13" si="4">H2-C2</f>
        <v>5.28</v>
      </c>
      <c r="J2" s="2">
        <f t="shared" ref="J2:J13" si="5">I2/(B2/3600)</f>
        <v>2290.120482</v>
      </c>
      <c r="K2" s="2">
        <f t="shared" ref="K2:K13" si="6">MAX(J2,F2)</f>
        <v>2290.120482</v>
      </c>
      <c r="L2" s="2" t="str">
        <f t="shared" ref="L2:L13" si="7">IF(J2&gt;F2, "Market", "Vendor")</f>
        <v>Market</v>
      </c>
    </row>
    <row r="3">
      <c r="A3" s="1" t="s">
        <v>15</v>
      </c>
      <c r="B3" s="1">
        <v>28.6</v>
      </c>
      <c r="C3" s="1">
        <v>16.0</v>
      </c>
      <c r="D3" s="1">
        <v>26.0</v>
      </c>
      <c r="E3" s="2">
        <f t="shared" si="1"/>
        <v>10</v>
      </c>
      <c r="F3" s="2">
        <f t="shared" si="2"/>
        <v>1258.741259</v>
      </c>
      <c r="G3" s="1">
        <f>Market!K3</f>
        <v>38</v>
      </c>
      <c r="H3" s="2">
        <f t="shared" si="3"/>
        <v>33.44</v>
      </c>
      <c r="I3" s="2">
        <f t="shared" si="4"/>
        <v>17.44</v>
      </c>
      <c r="J3" s="2">
        <f t="shared" si="5"/>
        <v>2195.244755</v>
      </c>
      <c r="K3" s="2">
        <f t="shared" si="6"/>
        <v>2195.244755</v>
      </c>
      <c r="L3" s="2" t="str">
        <f t="shared" si="7"/>
        <v>Market</v>
      </c>
    </row>
    <row r="4">
      <c r="A4" s="1" t="s">
        <v>19</v>
      </c>
      <c r="B4" s="1">
        <v>33.3</v>
      </c>
      <c r="C4" s="2">
        <f>G3+G2</f>
        <v>44</v>
      </c>
      <c r="D4" s="1">
        <v>65.0</v>
      </c>
      <c r="E4" s="2">
        <f t="shared" si="1"/>
        <v>21</v>
      </c>
      <c r="F4" s="2">
        <f t="shared" si="2"/>
        <v>2270.27027</v>
      </c>
      <c r="G4" s="1">
        <f>Market!K4</f>
        <v>67</v>
      </c>
      <c r="H4" s="2">
        <f t="shared" si="3"/>
        <v>58.96</v>
      </c>
      <c r="I4" s="2">
        <f t="shared" si="4"/>
        <v>14.96</v>
      </c>
      <c r="J4" s="2">
        <f t="shared" si="5"/>
        <v>1617.297297</v>
      </c>
      <c r="K4" s="2">
        <f t="shared" si="6"/>
        <v>2270.27027</v>
      </c>
      <c r="L4" s="2" t="str">
        <f t="shared" si="7"/>
        <v>Vendor</v>
      </c>
    </row>
    <row r="5">
      <c r="A5" s="1" t="s">
        <v>514</v>
      </c>
      <c r="B5" s="2">
        <f>B4+B3</f>
        <v>61.9</v>
      </c>
      <c r="C5" s="2">
        <f>C3+G2</f>
        <v>22</v>
      </c>
      <c r="D5" s="2">
        <f>D4</f>
        <v>65</v>
      </c>
      <c r="E5" s="2">
        <f t="shared" si="1"/>
        <v>43</v>
      </c>
      <c r="F5" s="2">
        <f t="shared" si="2"/>
        <v>2500.807754</v>
      </c>
      <c r="G5" s="2">
        <f>Market!K4</f>
        <v>67</v>
      </c>
      <c r="H5" s="2">
        <f t="shared" si="3"/>
        <v>58.96</v>
      </c>
      <c r="I5" s="2">
        <f t="shared" si="4"/>
        <v>36.96</v>
      </c>
      <c r="J5" s="2">
        <f t="shared" si="5"/>
        <v>2149.531502</v>
      </c>
      <c r="K5" s="2">
        <f t="shared" si="6"/>
        <v>2500.807754</v>
      </c>
      <c r="L5" s="2" t="str">
        <f t="shared" si="7"/>
        <v>Vendor</v>
      </c>
    </row>
    <row r="6">
      <c r="A6" s="1" t="s">
        <v>23</v>
      </c>
      <c r="B6" s="1">
        <v>32.1</v>
      </c>
      <c r="C6" s="1">
        <v>25.0</v>
      </c>
      <c r="D6" s="1">
        <v>41.0</v>
      </c>
      <c r="E6" s="2">
        <f t="shared" si="1"/>
        <v>16</v>
      </c>
      <c r="F6" s="2">
        <f t="shared" si="2"/>
        <v>1794.392523</v>
      </c>
      <c r="G6" s="1">
        <f>Market!K5</f>
        <v>56</v>
      </c>
      <c r="H6" s="2">
        <f t="shared" si="3"/>
        <v>49.28</v>
      </c>
      <c r="I6" s="2">
        <f t="shared" si="4"/>
        <v>24.28</v>
      </c>
      <c r="J6" s="2">
        <f t="shared" si="5"/>
        <v>2722.990654</v>
      </c>
      <c r="K6" s="2">
        <f t="shared" si="6"/>
        <v>2722.990654</v>
      </c>
      <c r="L6" s="2" t="str">
        <f t="shared" si="7"/>
        <v>Market</v>
      </c>
    </row>
    <row r="7">
      <c r="A7" s="1" t="s">
        <v>27</v>
      </c>
      <c r="B7" s="1">
        <v>45.8</v>
      </c>
      <c r="C7" s="2">
        <f>G6+G2</f>
        <v>62</v>
      </c>
      <c r="D7" s="1">
        <v>92.0</v>
      </c>
      <c r="E7" s="2">
        <f t="shared" si="1"/>
        <v>30</v>
      </c>
      <c r="F7" s="2">
        <f t="shared" si="2"/>
        <v>2358.078603</v>
      </c>
      <c r="G7" s="1">
        <f>Market!K6</f>
        <v>105</v>
      </c>
      <c r="H7" s="2">
        <f t="shared" si="3"/>
        <v>92.4</v>
      </c>
      <c r="I7" s="2">
        <f t="shared" si="4"/>
        <v>30.4</v>
      </c>
      <c r="J7" s="2">
        <f t="shared" si="5"/>
        <v>2389.519651</v>
      </c>
      <c r="K7" s="2">
        <f t="shared" si="6"/>
        <v>2389.519651</v>
      </c>
      <c r="L7" s="2" t="str">
        <f t="shared" si="7"/>
        <v>Market</v>
      </c>
    </row>
    <row r="8">
      <c r="A8" s="1" t="s">
        <v>515</v>
      </c>
      <c r="B8" s="2">
        <f>B7+B6</f>
        <v>77.9</v>
      </c>
      <c r="C8" s="2">
        <f>C6+G2</f>
        <v>31</v>
      </c>
      <c r="D8" s="2">
        <f t="shared" ref="D8:D9" si="8">D7</f>
        <v>92</v>
      </c>
      <c r="E8" s="2">
        <f t="shared" si="1"/>
        <v>61</v>
      </c>
      <c r="F8" s="2">
        <f t="shared" si="2"/>
        <v>2818.998716</v>
      </c>
      <c r="G8" s="2">
        <f>Market!K6</f>
        <v>105</v>
      </c>
      <c r="H8" s="2">
        <f t="shared" si="3"/>
        <v>92.4</v>
      </c>
      <c r="I8" s="2">
        <f t="shared" si="4"/>
        <v>61.4</v>
      </c>
      <c r="J8" s="2">
        <f t="shared" si="5"/>
        <v>2837.483954</v>
      </c>
      <c r="K8" s="2">
        <f t="shared" si="6"/>
        <v>2837.483954</v>
      </c>
      <c r="L8" s="2" t="str">
        <f t="shared" si="7"/>
        <v>Market</v>
      </c>
    </row>
    <row r="9">
      <c r="A9" s="1" t="s">
        <v>516</v>
      </c>
      <c r="B9" s="2">
        <f>B2+B6+B7</f>
        <v>86.2</v>
      </c>
      <c r="C9" s="2">
        <f>C6</f>
        <v>25</v>
      </c>
      <c r="D9" s="2">
        <f t="shared" si="8"/>
        <v>92</v>
      </c>
      <c r="E9" s="2">
        <f t="shared" si="1"/>
        <v>67</v>
      </c>
      <c r="F9" s="2">
        <f t="shared" si="2"/>
        <v>2798.143852</v>
      </c>
      <c r="G9" s="2">
        <f>Market!K6</f>
        <v>105</v>
      </c>
      <c r="H9" s="2">
        <f t="shared" si="3"/>
        <v>92.4</v>
      </c>
      <c r="I9" s="2">
        <f t="shared" si="4"/>
        <v>67.4</v>
      </c>
      <c r="J9" s="2">
        <f t="shared" si="5"/>
        <v>2814.849188</v>
      </c>
      <c r="K9" s="2">
        <f t="shared" si="6"/>
        <v>2814.849188</v>
      </c>
      <c r="L9" s="2" t="str">
        <f t="shared" si="7"/>
        <v>Market</v>
      </c>
      <c r="N9" s="1"/>
      <c r="O9" s="1"/>
    </row>
    <row r="10">
      <c r="A10" s="1" t="s">
        <v>31</v>
      </c>
      <c r="B10" s="1">
        <v>37.9</v>
      </c>
      <c r="C10" s="1">
        <v>0.0</v>
      </c>
      <c r="D10" s="1">
        <v>20.0</v>
      </c>
      <c r="E10" s="2">
        <f t="shared" si="1"/>
        <v>20</v>
      </c>
      <c r="F10" s="2">
        <f t="shared" si="2"/>
        <v>1899.736148</v>
      </c>
      <c r="G10" s="1">
        <f>Market!K7</f>
        <v>24</v>
      </c>
      <c r="H10" s="2">
        <f t="shared" si="3"/>
        <v>21.12</v>
      </c>
      <c r="I10" s="2">
        <f t="shared" si="4"/>
        <v>21.12</v>
      </c>
      <c r="J10" s="2">
        <f t="shared" si="5"/>
        <v>2006.121372</v>
      </c>
      <c r="K10" s="2">
        <f t="shared" si="6"/>
        <v>2006.121372</v>
      </c>
      <c r="L10" s="2" t="str">
        <f t="shared" si="7"/>
        <v>Market</v>
      </c>
    </row>
    <row r="11">
      <c r="A11" s="1" t="s">
        <v>34</v>
      </c>
      <c r="B11" s="1">
        <v>50.0</v>
      </c>
      <c r="C11" s="2">
        <f>G10+G2</f>
        <v>30</v>
      </c>
      <c r="D11" s="1">
        <v>59.0</v>
      </c>
      <c r="E11" s="2">
        <f t="shared" si="1"/>
        <v>29</v>
      </c>
      <c r="F11" s="2">
        <f t="shared" si="2"/>
        <v>2088</v>
      </c>
      <c r="G11" s="1">
        <f>Market!K8</f>
        <v>67</v>
      </c>
      <c r="H11" s="2">
        <f t="shared" si="3"/>
        <v>58.96</v>
      </c>
      <c r="I11" s="2">
        <f t="shared" si="4"/>
        <v>28.96</v>
      </c>
      <c r="J11" s="2">
        <f t="shared" si="5"/>
        <v>2085.12</v>
      </c>
      <c r="K11" s="2">
        <f t="shared" si="6"/>
        <v>2088</v>
      </c>
      <c r="L11" s="2" t="str">
        <f t="shared" si="7"/>
        <v>Vendor</v>
      </c>
    </row>
    <row r="12">
      <c r="A12" s="1" t="s">
        <v>517</v>
      </c>
      <c r="B12" s="2">
        <f>B11+B10</f>
        <v>87.9</v>
      </c>
      <c r="C12" s="2">
        <f>C10+G2</f>
        <v>6</v>
      </c>
      <c r="D12" s="2">
        <f t="shared" ref="D12:D13" si="9">D11</f>
        <v>59</v>
      </c>
      <c r="E12" s="2">
        <f t="shared" si="1"/>
        <v>53</v>
      </c>
      <c r="F12" s="2">
        <f t="shared" si="2"/>
        <v>2170.648464</v>
      </c>
      <c r="G12" s="2">
        <f>Market!K8</f>
        <v>67</v>
      </c>
      <c r="H12" s="2">
        <f t="shared" si="3"/>
        <v>58.96</v>
      </c>
      <c r="I12" s="2">
        <f t="shared" si="4"/>
        <v>52.96</v>
      </c>
      <c r="J12" s="2">
        <f t="shared" si="5"/>
        <v>2169.010239</v>
      </c>
      <c r="K12" s="2">
        <f t="shared" si="6"/>
        <v>2170.648464</v>
      </c>
      <c r="L12" s="2" t="str">
        <f t="shared" si="7"/>
        <v>Vendor</v>
      </c>
    </row>
    <row r="13">
      <c r="A13" s="1" t="s">
        <v>518</v>
      </c>
      <c r="B13" s="2">
        <f>B10+B11+B2</f>
        <v>96.2</v>
      </c>
      <c r="C13" s="1">
        <v>0.0</v>
      </c>
      <c r="D13" s="2">
        <f t="shared" si="9"/>
        <v>59</v>
      </c>
      <c r="E13" s="2">
        <f t="shared" si="1"/>
        <v>59</v>
      </c>
      <c r="F13" s="2">
        <f t="shared" si="2"/>
        <v>2207.900208</v>
      </c>
      <c r="G13" s="2">
        <f>Market!K8</f>
        <v>67</v>
      </c>
      <c r="H13" s="2">
        <f t="shared" si="3"/>
        <v>58.96</v>
      </c>
      <c r="I13" s="2">
        <f t="shared" si="4"/>
        <v>58.96</v>
      </c>
      <c r="J13" s="2">
        <f t="shared" si="5"/>
        <v>2206.403326</v>
      </c>
      <c r="K13" s="2">
        <f t="shared" si="6"/>
        <v>2207.900208</v>
      </c>
      <c r="L13" s="2" t="str">
        <f t="shared" si="7"/>
        <v>Vendor</v>
      </c>
    </row>
    <row r="16">
      <c r="A16" s="1" t="s">
        <v>519</v>
      </c>
      <c r="B16" s="2" t="str">
        <f t="array" ref="B16">INDIRECT(ADDRESS(MATCH(Max(K2:K13),K2:K13,),1,4))
</f>
        <v>Cooked White Shark</v>
      </c>
      <c r="C16" s="2" t="str">
        <f t="array" ref="C16">INDIRECT(ADDRESS(MATCH(Max(K2:K13),K2:K13,),12,4))</f>
        <v>Market</v>
      </c>
    </row>
  </sheetData>
  <drawing r:id="rId1"/>
</worksheet>
</file>